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Data-Analysis-Portfolio\Excel_course\"/>
    </mc:Choice>
  </mc:AlternateContent>
  <xr:revisionPtr revIDLastSave="0" documentId="13_ncr:1_{D568CDEC-E8B8-44A8-B0BC-20AB0F90E3F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shboard" sheetId="4" r:id="rId1"/>
    <sheet name="Calculations" sheetId="3" state="hidden" r:id="rId2"/>
    <sheet name="Data" sheetId="2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3" l="1"/>
  <c r="D32" i="3" l="1"/>
  <c r="H32" i="3"/>
  <c r="F32" i="3"/>
  <c r="A20" i="3" l="1"/>
  <c r="B7" i="3" l="1"/>
  <c r="B3" i="3"/>
  <c r="B4" i="3"/>
  <c r="E7" i="3" s="1"/>
  <c r="B26" i="2"/>
  <c r="H26" i="2" s="1"/>
  <c r="B25" i="2"/>
  <c r="H25" i="2" s="1"/>
  <c r="B24" i="2"/>
  <c r="H24" i="2" s="1"/>
  <c r="B23" i="2"/>
  <c r="H23" i="2" s="1"/>
  <c r="B22" i="2"/>
  <c r="H22" i="2" s="1"/>
  <c r="B21" i="2"/>
  <c r="H21" i="2" s="1"/>
  <c r="B20" i="2"/>
  <c r="H20" i="2" s="1"/>
  <c r="B19" i="2"/>
  <c r="H19" i="2" s="1"/>
  <c r="B18" i="2"/>
  <c r="H18" i="2" s="1"/>
  <c r="B17" i="2"/>
  <c r="H17" i="2" s="1"/>
  <c r="B16" i="2"/>
  <c r="H16" i="2" s="1"/>
  <c r="B15" i="2"/>
  <c r="H15" i="2" s="1"/>
  <c r="B14" i="2"/>
  <c r="H14" i="2" s="1"/>
  <c r="B13" i="2"/>
  <c r="H13" i="2" s="1"/>
  <c r="B12" i="2"/>
  <c r="H12" i="2" s="1"/>
  <c r="B11" i="2"/>
  <c r="H11" i="2" s="1"/>
  <c r="B10" i="2"/>
  <c r="H10" i="2" s="1"/>
  <c r="B9" i="2"/>
  <c r="H9" i="2" s="1"/>
  <c r="B8" i="2"/>
  <c r="H8" i="2" s="1"/>
  <c r="B7" i="2"/>
  <c r="H7" i="2" s="1"/>
  <c r="B6" i="2"/>
  <c r="H6" i="2" s="1"/>
  <c r="B5" i="2"/>
  <c r="H5" i="2" s="1"/>
  <c r="B4" i="2"/>
  <c r="H4" i="2" s="1"/>
  <c r="B3" i="2"/>
  <c r="H3" i="2" s="1"/>
  <c r="C7" i="3" l="1"/>
  <c r="A21" i="3"/>
  <c r="B20" i="3" a="1"/>
  <c r="B20" i="3" s="1"/>
  <c r="G7" i="3"/>
  <c r="B13" i="3" a="1"/>
  <c r="B13" i="3" s="1"/>
  <c r="F31" i="4" s="1"/>
  <c r="B16" i="3" a="1"/>
  <c r="B16" i="3" s="1"/>
  <c r="F34" i="4" s="1"/>
  <c r="B11" i="3" a="1"/>
  <c r="B11" i="3" s="1"/>
  <c r="F29" i="4" s="1"/>
  <c r="B14" i="3" a="1"/>
  <c r="B14" i="3" s="1"/>
  <c r="F32" i="4" s="1"/>
  <c r="D20" i="3" a="1"/>
  <c r="D20" i="3" s="1"/>
  <c r="E20" i="3" a="1"/>
  <c r="E20" i="3" s="1"/>
  <c r="B8" i="3" a="1"/>
  <c r="B8" i="3" s="1"/>
  <c r="F26" i="4" s="1"/>
  <c r="B9" i="3" a="1"/>
  <c r="B9" i="3" s="1"/>
  <c r="F27" i="4" s="1"/>
  <c r="B17" i="3" a="1"/>
  <c r="B17" i="3" s="1"/>
  <c r="F35" i="4" s="1"/>
  <c r="B10" i="3" a="1"/>
  <c r="B10" i="3" s="1"/>
  <c r="F28" i="4" s="1"/>
  <c r="B15" i="3" a="1"/>
  <c r="B15" i="3" s="1"/>
  <c r="F33" i="4" s="1"/>
  <c r="B12" i="3" a="1"/>
  <c r="B12" i="3" s="1"/>
  <c r="F30" i="4" s="1"/>
  <c r="C20" i="3" a="1"/>
  <c r="C20" i="3" s="1"/>
  <c r="E13" i="3" a="1"/>
  <c r="E13" i="3" s="1"/>
  <c r="I31" i="4" s="1"/>
  <c r="E16" i="3" a="1"/>
  <c r="E16" i="3" s="1"/>
  <c r="I34" i="4" s="1"/>
  <c r="E11" i="3" a="1"/>
  <c r="E11" i="3" s="1"/>
  <c r="I29" i="4" s="1"/>
  <c r="E14" i="3" a="1"/>
  <c r="E14" i="3" s="1"/>
  <c r="I32" i="4" s="1"/>
  <c r="E10" i="3" a="1"/>
  <c r="E10" i="3" s="1"/>
  <c r="I28" i="4" s="1"/>
  <c r="E15" i="3" a="1"/>
  <c r="E15" i="3" s="1"/>
  <c r="I33" i="4" s="1"/>
  <c r="E12" i="3" a="1"/>
  <c r="E12" i="3" s="1"/>
  <c r="I30" i="4" s="1"/>
  <c r="E17" i="3" a="1"/>
  <c r="E17" i="3" s="1"/>
  <c r="I35" i="4" s="1"/>
  <c r="E9" i="3" a="1"/>
  <c r="E9" i="3" s="1"/>
  <c r="I27" i="4" s="1"/>
  <c r="E8" i="3" a="1"/>
  <c r="E8" i="3" s="1"/>
  <c r="I26" i="4" s="1"/>
  <c r="D33" i="3" l="1"/>
  <c r="F33" i="3"/>
  <c r="B33" i="3"/>
  <c r="H33" i="3"/>
  <c r="G12" i="3"/>
  <c r="G9" i="3"/>
  <c r="G14" i="3"/>
  <c r="C24" i="3"/>
  <c r="H7" i="3"/>
  <c r="G15" i="3"/>
  <c r="G8" i="3"/>
  <c r="G11" i="3"/>
  <c r="G16" i="3"/>
  <c r="G10" i="3"/>
  <c r="G17" i="3"/>
  <c r="G13" i="3"/>
  <c r="B21" i="3" a="1"/>
  <c r="B21" i="3" s="1"/>
  <c r="C9" i="3" a="1"/>
  <c r="C9" i="3" s="1"/>
  <c r="C12" i="3" a="1"/>
  <c r="C12" i="3" s="1"/>
  <c r="C17" i="3" a="1"/>
  <c r="C17" i="3" s="1"/>
  <c r="C10" i="3" a="1"/>
  <c r="C10" i="3" s="1"/>
  <c r="C15" i="3" a="1"/>
  <c r="C15" i="3" s="1"/>
  <c r="C8" i="3" a="1"/>
  <c r="C8" i="3" s="1"/>
  <c r="D21" i="3" a="1"/>
  <c r="D21" i="3" s="1"/>
  <c r="E21" i="3" a="1"/>
  <c r="E21" i="3" s="1"/>
  <c r="C11" i="3" a="1"/>
  <c r="C11" i="3" s="1"/>
  <c r="C13" i="3" a="1"/>
  <c r="C13" i="3" s="1"/>
  <c r="C21" i="3" a="1"/>
  <c r="C21" i="3" s="1"/>
  <c r="C14" i="3" a="1"/>
  <c r="C14" i="3" s="1"/>
  <c r="C16" i="3" a="1"/>
  <c r="C16" i="3" s="1"/>
  <c r="H17" i="3" l="1"/>
  <c r="G35" i="4"/>
  <c r="H13" i="3"/>
  <c r="G31" i="4"/>
  <c r="H8" i="3"/>
  <c r="G26" i="4"/>
  <c r="H12" i="3"/>
  <c r="G30" i="4"/>
  <c r="H16" i="3"/>
  <c r="G34" i="4"/>
  <c r="H11" i="3"/>
  <c r="G29" i="4"/>
  <c r="H15" i="3"/>
  <c r="G33" i="4"/>
  <c r="H9" i="3"/>
  <c r="G27" i="4"/>
  <c r="H14" i="3"/>
  <c r="D29" i="3" s="1"/>
  <c r="G32" i="4"/>
  <c r="H10" i="3"/>
  <c r="G28" i="4"/>
  <c r="D9" i="3"/>
  <c r="H27" i="4" s="1"/>
  <c r="E27" i="4" s="1"/>
  <c r="D13" i="3"/>
  <c r="H31" i="4" s="1"/>
  <c r="E31" i="4" s="1"/>
  <c r="D10" i="3"/>
  <c r="H28" i="4" s="1"/>
  <c r="E28" i="4" s="1"/>
  <c r="D14" i="3"/>
  <c r="D16" i="3"/>
  <c r="D11" i="3"/>
  <c r="H29" i="4" s="1"/>
  <c r="E29" i="4" s="1"/>
  <c r="D15" i="3"/>
  <c r="C29" i="3"/>
  <c r="D17" i="3"/>
  <c r="D8" i="3"/>
  <c r="H26" i="4" s="1"/>
  <c r="E26" i="4" s="1"/>
  <c r="D24" i="3"/>
  <c r="I7" i="3"/>
  <c r="D12" i="3"/>
  <c r="H30" i="4" s="1"/>
  <c r="E30" i="4" s="1"/>
  <c r="B34" i="3" l="1"/>
  <c r="H32" i="4"/>
  <c r="E32" i="4" s="1"/>
  <c r="D34" i="3"/>
  <c r="H33" i="4"/>
  <c r="E33" i="4" s="1"/>
  <c r="H34" i="3"/>
  <c r="H35" i="4"/>
  <c r="E35" i="4" s="1"/>
  <c r="F34" i="3"/>
  <c r="H34" i="4"/>
  <c r="E34" i="4" s="1"/>
  <c r="J7" i="3"/>
  <c r="I9" i="3" a="1"/>
  <c r="I9" i="3" s="1"/>
  <c r="I12" i="3" a="1"/>
  <c r="I12" i="3" s="1"/>
  <c r="I17" i="3" a="1"/>
  <c r="I17" i="3" s="1"/>
  <c r="E24" i="3"/>
  <c r="I10" i="3" a="1"/>
  <c r="I10" i="3" s="1"/>
  <c r="I15" i="3" a="1"/>
  <c r="I15" i="3" s="1"/>
  <c r="I8" i="3" a="1"/>
  <c r="I8" i="3" s="1"/>
  <c r="I14" i="3" a="1"/>
  <c r="I14" i="3" s="1"/>
  <c r="I16" i="3" a="1"/>
  <c r="I16" i="3" s="1"/>
  <c r="I11" i="3" a="1"/>
  <c r="I11" i="3" s="1"/>
  <c r="I13" i="3" a="1"/>
  <c r="I13" i="3" s="1"/>
  <c r="E29" i="3" l="1"/>
  <c r="K7" i="3"/>
  <c r="J9" i="3" a="1"/>
  <c r="J9" i="3" s="1"/>
  <c r="J12" i="3" a="1"/>
  <c r="J12" i="3" s="1"/>
  <c r="J16" i="3" a="1"/>
  <c r="J16" i="3" s="1"/>
  <c r="J10" i="3" a="1"/>
  <c r="J10" i="3" s="1"/>
  <c r="J13" i="3" a="1"/>
  <c r="J13" i="3" s="1"/>
  <c r="J17" i="3" a="1"/>
  <c r="J17" i="3" s="1"/>
  <c r="J11" i="3" a="1"/>
  <c r="J11" i="3" s="1"/>
  <c r="J8" i="3" a="1"/>
  <c r="J8" i="3" s="1"/>
  <c r="F24" i="3"/>
  <c r="J14" i="3" a="1"/>
  <c r="J14" i="3" s="1"/>
  <c r="F29" i="3" s="1"/>
  <c r="J15" i="3" a="1"/>
  <c r="J15" i="3" s="1"/>
  <c r="L7" i="3" l="1"/>
  <c r="K9" i="3" a="1"/>
  <c r="K9" i="3" s="1"/>
  <c r="K12" i="3" a="1"/>
  <c r="K12" i="3" s="1"/>
  <c r="K10" i="3" a="1"/>
  <c r="K10" i="3" s="1"/>
  <c r="K15" i="3" a="1"/>
  <c r="K15" i="3" s="1"/>
  <c r="K14" i="3" a="1"/>
  <c r="K14" i="3" s="1"/>
  <c r="K16" i="3" a="1"/>
  <c r="K16" i="3" s="1"/>
  <c r="K11" i="3" a="1"/>
  <c r="K11" i="3" s="1"/>
  <c r="K17" i="3" a="1"/>
  <c r="K17" i="3" s="1"/>
  <c r="K8" i="3" a="1"/>
  <c r="K8" i="3" s="1"/>
  <c r="K13" i="3" a="1"/>
  <c r="K13" i="3" s="1"/>
  <c r="M7" i="3" l="1"/>
  <c r="L9" i="3" a="1"/>
  <c r="L9" i="3" s="1"/>
  <c r="L12" i="3" a="1"/>
  <c r="L12" i="3" s="1"/>
  <c r="L15" i="3" a="1"/>
  <c r="L15" i="3" s="1"/>
  <c r="L10" i="3" a="1"/>
  <c r="L10" i="3" s="1"/>
  <c r="L16" i="3" a="1"/>
  <c r="L16" i="3" s="1"/>
  <c r="L11" i="3" a="1"/>
  <c r="L11" i="3" s="1"/>
  <c r="L17" i="3" a="1"/>
  <c r="L17" i="3" s="1"/>
  <c r="L13" i="3" a="1"/>
  <c r="L13" i="3" s="1"/>
  <c r="L8" i="3" a="1"/>
  <c r="L8" i="3" s="1"/>
  <c r="L14" i="3" a="1"/>
  <c r="L14" i="3" s="1"/>
  <c r="N7" i="3" l="1"/>
  <c r="M10" i="3" a="1"/>
  <c r="M10" i="3" s="1"/>
  <c r="M15" i="3" a="1"/>
  <c r="M15" i="3" s="1"/>
  <c r="M13" i="3" a="1"/>
  <c r="M13" i="3" s="1"/>
  <c r="M16" i="3" a="1"/>
  <c r="M16" i="3" s="1"/>
  <c r="M8" i="3" a="1"/>
  <c r="M8" i="3" s="1"/>
  <c r="M9" i="3" a="1"/>
  <c r="M9" i="3" s="1"/>
  <c r="M11" i="3" a="1"/>
  <c r="M11" i="3" s="1"/>
  <c r="M12" i="3" a="1"/>
  <c r="M12" i="3" s="1"/>
  <c r="M17" i="3" a="1"/>
  <c r="M17" i="3" s="1"/>
  <c r="M14" i="3" a="1"/>
  <c r="M14" i="3" s="1"/>
  <c r="O7" i="3" l="1"/>
  <c r="N10" i="3" a="1"/>
  <c r="N10" i="3" s="1"/>
  <c r="N15" i="3" a="1"/>
  <c r="N15" i="3" s="1"/>
  <c r="N8" i="3" a="1"/>
  <c r="N8" i="3" s="1"/>
  <c r="N13" i="3" a="1"/>
  <c r="N13" i="3" s="1"/>
  <c r="N16" i="3" a="1"/>
  <c r="N16" i="3" s="1"/>
  <c r="N12" i="3" a="1"/>
  <c r="N12" i="3" s="1"/>
  <c r="N14" i="3" a="1"/>
  <c r="N14" i="3" s="1"/>
  <c r="N9" i="3" a="1"/>
  <c r="N9" i="3" s="1"/>
  <c r="N11" i="3" a="1"/>
  <c r="N11" i="3" s="1"/>
  <c r="N17" i="3" a="1"/>
  <c r="N17" i="3" s="1"/>
  <c r="P7" i="3" l="1"/>
  <c r="O10" i="3" a="1"/>
  <c r="O10" i="3" s="1"/>
  <c r="O15" i="3" a="1"/>
  <c r="O15" i="3" s="1"/>
  <c r="O13" i="3" a="1"/>
  <c r="O13" i="3" s="1"/>
  <c r="O16" i="3" a="1"/>
  <c r="O16" i="3" s="1"/>
  <c r="O9" i="3" a="1"/>
  <c r="O9" i="3" s="1"/>
  <c r="O8" i="3" a="1"/>
  <c r="O8" i="3" s="1"/>
  <c r="O11" i="3" a="1"/>
  <c r="O11" i="3" s="1"/>
  <c r="O17" i="3" a="1"/>
  <c r="O17" i="3" s="1"/>
  <c r="O12" i="3" a="1"/>
  <c r="O12" i="3" s="1"/>
  <c r="O14" i="3" a="1"/>
  <c r="O14" i="3" s="1"/>
  <c r="P10" i="3" l="1" a="1"/>
  <c r="P10" i="3" s="1"/>
  <c r="P15" i="3" a="1"/>
  <c r="P15" i="3" s="1"/>
  <c r="P13" i="3" a="1"/>
  <c r="P13" i="3" s="1"/>
  <c r="P16" i="3" a="1"/>
  <c r="P16" i="3" s="1"/>
  <c r="Q7" i="3"/>
  <c r="P12" i="3" a="1"/>
  <c r="P12" i="3" s="1"/>
  <c r="P14" i="3" a="1"/>
  <c r="P14" i="3" s="1"/>
  <c r="P9" i="3" a="1"/>
  <c r="P9" i="3" s="1"/>
  <c r="P11" i="3" a="1"/>
  <c r="P11" i="3" s="1"/>
  <c r="P17" i="3" a="1"/>
  <c r="P17" i="3" s="1"/>
  <c r="P8" i="3" a="1"/>
  <c r="P8" i="3" s="1"/>
  <c r="R7" i="3" l="1"/>
  <c r="Q13" i="3" a="1"/>
  <c r="Q13" i="3" s="1"/>
  <c r="Q16" i="3" a="1"/>
  <c r="Q16" i="3" s="1"/>
  <c r="Q9" i="3" a="1"/>
  <c r="Q9" i="3" s="1"/>
  <c r="Q12" i="3" a="1"/>
  <c r="Q12" i="3" s="1"/>
  <c r="Q17" i="3" a="1"/>
  <c r="Q17" i="3" s="1"/>
  <c r="Q11" i="3" a="1"/>
  <c r="Q11" i="3" s="1"/>
  <c r="Q14" i="3" a="1"/>
  <c r="Q14" i="3" s="1"/>
  <c r="Q8" i="3" a="1"/>
  <c r="Q8" i="3" s="1"/>
  <c r="Q15" i="3" a="1"/>
  <c r="Q15" i="3" s="1"/>
  <c r="Q10" i="3" a="1"/>
  <c r="Q10" i="3" s="1"/>
  <c r="R11" i="3" l="1" a="1"/>
  <c r="R11" i="3" s="1"/>
  <c r="F11" i="3" s="1"/>
  <c r="J29" i="4" s="1"/>
  <c r="R14" i="3" a="1"/>
  <c r="R14" i="3" s="1"/>
  <c r="F14" i="3" s="1"/>
  <c r="J32" i="4" s="1"/>
  <c r="R8" i="3" a="1"/>
  <c r="R8" i="3" s="1"/>
  <c r="F8" i="3" s="1"/>
  <c r="J26" i="4" s="1"/>
  <c r="R10" i="3" a="1"/>
  <c r="R10" i="3" s="1"/>
  <c r="F10" i="3" s="1"/>
  <c r="J28" i="4" s="1"/>
  <c r="R15" i="3" a="1"/>
  <c r="R15" i="3" s="1"/>
  <c r="F15" i="3" s="1"/>
  <c r="J33" i="4" s="1"/>
  <c r="R9" i="3" a="1"/>
  <c r="R9" i="3" s="1"/>
  <c r="F9" i="3" s="1"/>
  <c r="J27" i="4" s="1"/>
  <c r="R12" i="3" a="1"/>
  <c r="R12" i="3" s="1"/>
  <c r="F12" i="3" s="1"/>
  <c r="J30" i="4" s="1"/>
  <c r="R17" i="3" a="1"/>
  <c r="R17" i="3" s="1"/>
  <c r="F17" i="3" s="1"/>
  <c r="J35" i="4" s="1"/>
  <c r="R13" i="3" a="1"/>
  <c r="R13" i="3" s="1"/>
  <c r="F13" i="3" s="1"/>
  <c r="J31" i="4" s="1"/>
  <c r="R16" i="3" a="1"/>
  <c r="R16" i="3" s="1"/>
  <c r="F16" i="3" s="1"/>
  <c r="J34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<sst xmlns="http://schemas.openxmlformats.org/spreadsheetml/2006/main" count="54" uniqueCount="25">
  <si>
    <t>Refunds</t>
  </si>
  <si>
    <t>Other</t>
  </si>
  <si>
    <t>Month</t>
  </si>
  <si>
    <t>Udemy Organic</t>
  </si>
  <si>
    <t>My Promotions</t>
  </si>
  <si>
    <t>Ad Program</t>
  </si>
  <si>
    <t>Revenue</t>
  </si>
  <si>
    <t>Students</t>
  </si>
  <si>
    <t>YouTube Subscribers</t>
  </si>
  <si>
    <t>Website Unique visitors</t>
  </si>
  <si>
    <t>Student Purchases</t>
  </si>
  <si>
    <t>Description</t>
  </si>
  <si>
    <t>Current Month</t>
  </si>
  <si>
    <t>Previous Month</t>
  </si>
  <si>
    <t>Current Month Last Year</t>
  </si>
  <si>
    <t>Change %</t>
  </si>
  <si>
    <t>Last Year Current Month</t>
  </si>
  <si>
    <t>Last 12 Months</t>
  </si>
  <si>
    <t>Total</t>
  </si>
  <si>
    <t>Poor</t>
  </si>
  <si>
    <t>Good</t>
  </si>
  <si>
    <t>Excellent</t>
  </si>
  <si>
    <t>Target Revenue</t>
  </si>
  <si>
    <t>Net Revenue</t>
  </si>
  <si>
    <t>Select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</si>
</sst>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3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ck">
        <color theme="4" tint="0.499984740745262"/>
      </top>
      <bottom style="thick">
        <color theme="4" tint="0.499984740745262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3" applyNumberFormat="0" applyFill="0" applyAlignment="0" applyProtection="0"/>
  </cellStyleXfs>
  <cellXfs count="3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17" fontId="0" fillId="0" borderId="0" xfId="0" applyNumberFormat="1"/>
    <xf numFmtId="9" fontId="1" fillId="0" borderId="0" xfId="1" applyFont="1"/>
    <xf numFmtId="17" fontId="3" fillId="0" borderId="1" xfId="0" applyNumberFormat="1" applyFont="1" applyFill="1" applyBorder="1" applyAlignment="1">
      <alignment horizontal="left"/>
    </xf>
    <xf numFmtId="0" fontId="3" fillId="0" borderId="1" xfId="0" applyNumberFormat="1" applyFont="1" applyFill="1" applyBorder="1"/>
    <xf numFmtId="0" fontId="3" fillId="0" borderId="1" xfId="0" applyFont="1" applyFill="1" applyBorder="1"/>
    <xf numFmtId="3" fontId="3" fillId="0" borderId="1" xfId="0" applyNumberFormat="1" applyFont="1" applyFill="1" applyBorder="1"/>
    <xf numFmtId="0" fontId="2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" xfId="0" applyBorder="1"/>
    <xf numFmtId="0" fontId="4" fillId="0" borderId="2" xfId="0" applyFont="1" applyBorder="1"/>
    <xf numFmtId="17" fontId="4" fillId="0" borderId="2" xfId="0" applyNumberFormat="1" applyFont="1" applyBorder="1"/>
    <xf numFmtId="17" fontId="0" fillId="0" borderId="2" xfId="0" applyNumberFormat="1" applyBorder="1"/>
    <xf numFmtId="0" fontId="2" fillId="0" borderId="2" xfId="0" applyFont="1" applyFill="1" applyBorder="1" applyAlignment="1">
      <alignment horizontal="center" vertical="center" wrapText="1"/>
    </xf>
    <xf numFmtId="9" fontId="0" fillId="0" borderId="2" xfId="1" applyFont="1" applyBorder="1"/>
    <xf numFmtId="0" fontId="0" fillId="0" borderId="2" xfId="0" applyNumberFormat="1" applyBorder="1"/>
    <xf numFmtId="9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NumberFormat="1" applyAlignment="1">
      <alignment horizontal="center"/>
    </xf>
    <xf numFmtId="0" fontId="7" fillId="0" borderId="3" xfId="2" applyFont="1"/>
    <xf numFmtId="17" fontId="7" fillId="0" borderId="3" xfId="2" applyNumberFormat="1" applyFont="1"/>
    <xf numFmtId="17" fontId="0" fillId="2" borderId="0" xfId="0" applyNumberFormat="1" applyFill="1"/>
    <xf numFmtId="10" fontId="7" fillId="0" borderId="3" xfId="2" applyNumberFormat="1" applyFont="1"/>
    <xf numFmtId="0" fontId="7" fillId="0" borderId="3" xfId="2" applyNumberFormat="1" applyFont="1"/>
    <xf numFmtId="0" fontId="7" fillId="0" borderId="4" xfId="2" applyFont="1" applyFill="1" applyBorder="1" applyAlignment="1">
      <alignment horizontal="center" vertical="center" wrapText="1"/>
    </xf>
    <xf numFmtId="0" fontId="7" fillId="0" borderId="3" xfId="2" applyFont="1" applyAlignment="1">
      <alignment horizontal="left"/>
    </xf>
    <xf numFmtId="0" fontId="5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</cellXfs>
  <cellStyles count="3">
    <cellStyle name="Heading 2" xfId="2" builtinId="17"/>
    <cellStyle name="Normal" xfId="0" builtinId="0"/>
    <cellStyle name="Percent" xfId="1" builtinId="5"/>
  </cellStyles>
  <dxfs count="0"/>
  <tableStyles count="1" defaultTableStyle="TableStyleMedium9" defaultPivotStyle="PivotStyleLight16">
    <tableStyle name="Invisible" pivot="0" table="0" count="0" xr9:uid="{96D1A59E-D967-4E62-B1F9-5051BE6DE5C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Calculations!$B$19</c:f>
              <c:strCache>
                <c:ptCount val="1"/>
                <c:pt idx="0">
                  <c:v>Udemy Organic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val>
            <c:numRef>
              <c:f>Calculations!$B$20:$B$21</c:f>
              <c:numCache>
                <c:formatCode>General</c:formatCode>
                <c:ptCount val="2"/>
                <c:pt idx="0">
                  <c:v>828</c:v>
                </c:pt>
                <c:pt idx="1">
                  <c:v>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E5-4F22-96BE-BA45133483B0}"/>
            </c:ext>
          </c:extLst>
        </c:ser>
        <c:ser>
          <c:idx val="1"/>
          <c:order val="1"/>
          <c:tx>
            <c:strRef>
              <c:f>Calculations!$C$19</c:f>
              <c:strCache>
                <c:ptCount val="1"/>
                <c:pt idx="0">
                  <c:v>My Promotions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val>
            <c:numRef>
              <c:f>Calculations!$C$20:$C$21</c:f>
              <c:numCache>
                <c:formatCode>General</c:formatCode>
                <c:ptCount val="2"/>
                <c:pt idx="0">
                  <c:v>210</c:v>
                </c:pt>
                <c:pt idx="1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E5-4F22-96BE-BA45133483B0}"/>
            </c:ext>
          </c:extLst>
        </c:ser>
        <c:ser>
          <c:idx val="2"/>
          <c:order val="2"/>
          <c:tx>
            <c:strRef>
              <c:f>Calculations!$D$19</c:f>
              <c:strCache>
                <c:ptCount val="1"/>
                <c:pt idx="0">
                  <c:v>Ad Program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val>
            <c:numRef>
              <c:f>Calculations!$D$20:$D$21</c:f>
              <c:numCache>
                <c:formatCode>General</c:formatCode>
                <c:ptCount val="2"/>
                <c:pt idx="0">
                  <c:v>82</c:v>
                </c:pt>
                <c:pt idx="1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E5-4F22-96BE-BA45133483B0}"/>
            </c:ext>
          </c:extLst>
        </c:ser>
        <c:ser>
          <c:idx val="3"/>
          <c:order val="3"/>
          <c:tx>
            <c:strRef>
              <c:f>Calculations!$E$19</c:f>
              <c:strCache>
                <c:ptCount val="1"/>
                <c:pt idx="0">
                  <c:v>Other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val>
            <c:numRef>
              <c:f>Calculations!$E$20:$E$21</c:f>
              <c:numCache>
                <c:formatCode>General</c:formatCode>
                <c:ptCount val="2"/>
                <c:pt idx="0">
                  <c:v>80</c:v>
                </c:pt>
                <c:pt idx="1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E5-4F22-96BE-BA45133483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64407136"/>
        <c:axId val="264407552"/>
      </c:barChart>
      <c:catAx>
        <c:axId val="264407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407552"/>
        <c:crosses val="autoZero"/>
        <c:auto val="1"/>
        <c:lblAlgn val="ctr"/>
        <c:lblOffset val="100"/>
        <c:noMultiLvlLbl val="0"/>
      </c:catAx>
      <c:valAx>
        <c:axId val="264407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407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Calculations!$A$25:$B$25</c:f>
              <c:strCache>
                <c:ptCount val="2"/>
                <c:pt idx="0">
                  <c:v>Poor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Calculations!$C$24:$F$24</c:f>
              <c:numCache>
                <c:formatCode>mmm\-yy</c:formatCode>
                <c:ptCount val="4"/>
                <c:pt idx="0">
                  <c:v>42795</c:v>
                </c:pt>
                <c:pt idx="1">
                  <c:v>42767</c:v>
                </c:pt>
                <c:pt idx="2">
                  <c:v>42736</c:v>
                </c:pt>
                <c:pt idx="3">
                  <c:v>42705</c:v>
                </c:pt>
              </c:numCache>
            </c:numRef>
          </c:cat>
          <c:val>
            <c:numRef>
              <c:f>Calculations!$C$25:$F$25</c:f>
              <c:numCache>
                <c:formatCode>General</c:formatCode>
                <c:ptCount val="4"/>
                <c:pt idx="0">
                  <c:v>600</c:v>
                </c:pt>
                <c:pt idx="1">
                  <c:v>600</c:v>
                </c:pt>
                <c:pt idx="2">
                  <c:v>600</c:v>
                </c:pt>
                <c:pt idx="3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80-48BD-8BBF-42280ED7EEB3}"/>
            </c:ext>
          </c:extLst>
        </c:ser>
        <c:ser>
          <c:idx val="1"/>
          <c:order val="1"/>
          <c:tx>
            <c:strRef>
              <c:f>Calculations!$A$26:$B$26</c:f>
              <c:strCache>
                <c:ptCount val="2"/>
                <c:pt idx="0">
                  <c:v>Good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Calculations!$C$24:$F$24</c:f>
              <c:numCache>
                <c:formatCode>mmm\-yy</c:formatCode>
                <c:ptCount val="4"/>
                <c:pt idx="0">
                  <c:v>42795</c:v>
                </c:pt>
                <c:pt idx="1">
                  <c:v>42767</c:v>
                </c:pt>
                <c:pt idx="2">
                  <c:v>42736</c:v>
                </c:pt>
                <c:pt idx="3">
                  <c:v>42705</c:v>
                </c:pt>
              </c:numCache>
            </c:numRef>
          </c:cat>
          <c:val>
            <c:numRef>
              <c:f>Calculations!$C$26:$F$26</c:f>
              <c:numCache>
                <c:formatCode>General</c:formatCode>
                <c:ptCount val="4"/>
                <c:pt idx="0">
                  <c:v>600</c:v>
                </c:pt>
                <c:pt idx="1">
                  <c:v>600</c:v>
                </c:pt>
                <c:pt idx="2">
                  <c:v>600</c:v>
                </c:pt>
                <c:pt idx="3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80-48BD-8BBF-42280ED7EEB3}"/>
            </c:ext>
          </c:extLst>
        </c:ser>
        <c:ser>
          <c:idx val="2"/>
          <c:order val="2"/>
          <c:tx>
            <c:strRef>
              <c:f>Calculations!$A$27:$B$27</c:f>
              <c:strCache>
                <c:ptCount val="2"/>
                <c:pt idx="0">
                  <c:v>Excellent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Calculations!$C$24:$F$24</c:f>
              <c:numCache>
                <c:formatCode>mmm\-yy</c:formatCode>
                <c:ptCount val="4"/>
                <c:pt idx="0">
                  <c:v>42795</c:v>
                </c:pt>
                <c:pt idx="1">
                  <c:v>42767</c:v>
                </c:pt>
                <c:pt idx="2">
                  <c:v>42736</c:v>
                </c:pt>
                <c:pt idx="3">
                  <c:v>42705</c:v>
                </c:pt>
              </c:numCache>
            </c:numRef>
          </c:cat>
          <c:val>
            <c:numRef>
              <c:f>Calculations!$C$27:$F$27</c:f>
              <c:numCache>
                <c:formatCode>General</c:formatCode>
                <c:ptCount val="4"/>
                <c:pt idx="0">
                  <c:v>600</c:v>
                </c:pt>
                <c:pt idx="1">
                  <c:v>600</c:v>
                </c:pt>
                <c:pt idx="2">
                  <c:v>600</c:v>
                </c:pt>
                <c:pt idx="3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80-48BD-8BBF-42280ED7EE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09549264"/>
        <c:axId val="309550096"/>
      </c:barChart>
      <c:barChart>
        <c:barDir val="col"/>
        <c:grouping val="stacked"/>
        <c:varyColors val="0"/>
        <c:ser>
          <c:idx val="4"/>
          <c:order val="4"/>
          <c:tx>
            <c:strRef>
              <c:f>Calculations!$A$29:$B$29</c:f>
              <c:strCache>
                <c:ptCount val="2"/>
                <c:pt idx="0">
                  <c:v>Net Revenue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Calculations!$C$24:$F$24</c:f>
              <c:numCache>
                <c:formatCode>mmm\-yy</c:formatCode>
                <c:ptCount val="4"/>
                <c:pt idx="0">
                  <c:v>42795</c:v>
                </c:pt>
                <c:pt idx="1">
                  <c:v>42767</c:v>
                </c:pt>
                <c:pt idx="2">
                  <c:v>42736</c:v>
                </c:pt>
                <c:pt idx="3">
                  <c:v>42705</c:v>
                </c:pt>
              </c:numCache>
            </c:numRef>
          </c:cat>
          <c:val>
            <c:numRef>
              <c:f>Calculations!$C$29:$F$29</c:f>
              <c:numCache>
                <c:formatCode>General</c:formatCode>
                <c:ptCount val="4"/>
                <c:pt idx="0">
                  <c:v>1164</c:v>
                </c:pt>
                <c:pt idx="1">
                  <c:v>986</c:v>
                </c:pt>
                <c:pt idx="2">
                  <c:v>1549</c:v>
                </c:pt>
                <c:pt idx="3">
                  <c:v>1371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80-48BD-8BBF-42280ED7EE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100"/>
        <c:axId val="320539264"/>
        <c:axId val="1953785088"/>
      </c:barChart>
      <c:lineChart>
        <c:grouping val="standard"/>
        <c:varyColors val="0"/>
        <c:ser>
          <c:idx val="3"/>
          <c:order val="3"/>
          <c:tx>
            <c:strRef>
              <c:f>Calculations!$A$28:$B$28</c:f>
              <c:strCache>
                <c:ptCount val="2"/>
                <c:pt idx="0">
                  <c:v>Target Revenue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numRef>
              <c:f>Calculations!$C$24:$F$24</c:f>
              <c:numCache>
                <c:formatCode>mmm\-yy</c:formatCode>
                <c:ptCount val="4"/>
                <c:pt idx="0">
                  <c:v>42795</c:v>
                </c:pt>
                <c:pt idx="1">
                  <c:v>42767</c:v>
                </c:pt>
                <c:pt idx="2">
                  <c:v>42736</c:v>
                </c:pt>
                <c:pt idx="3">
                  <c:v>42705</c:v>
                </c:pt>
              </c:numCache>
            </c:numRef>
          </c:cat>
          <c:val>
            <c:numRef>
              <c:f>Calculations!$C$28:$F$28</c:f>
              <c:numCache>
                <c:formatCode>General</c:formatCode>
                <c:ptCount val="4"/>
                <c:pt idx="0">
                  <c:v>1500</c:v>
                </c:pt>
                <c:pt idx="1">
                  <c:v>1500</c:v>
                </c:pt>
                <c:pt idx="2">
                  <c:v>1500</c:v>
                </c:pt>
                <c:pt idx="3">
                  <c:v>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80-48BD-8BBF-42280ED7EE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9549264"/>
        <c:axId val="309550096"/>
      </c:lineChart>
      <c:dateAx>
        <c:axId val="309549264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550096"/>
        <c:crosses val="autoZero"/>
        <c:auto val="1"/>
        <c:lblOffset val="100"/>
        <c:baseTimeUnit val="months"/>
      </c:dateAx>
      <c:valAx>
        <c:axId val="309550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549264"/>
        <c:crosses val="autoZero"/>
        <c:crossBetween val="between"/>
      </c:valAx>
      <c:valAx>
        <c:axId val="1953785088"/>
        <c:scaling>
          <c:orientation val="minMax"/>
        </c:scaling>
        <c:delete val="1"/>
        <c:axPos val="r"/>
        <c:numFmt formatCode="General" sourceLinked="1"/>
        <c:majorTickMark val="none"/>
        <c:minorTickMark val="none"/>
        <c:tickLblPos val="nextTo"/>
        <c:crossAx val="320539264"/>
        <c:crosses val="max"/>
        <c:crossBetween val="between"/>
      </c:valAx>
      <c:dateAx>
        <c:axId val="320539264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53785088"/>
        <c:crosses val="autoZero"/>
        <c:auto val="1"/>
        <c:lblOffset val="100"/>
        <c:baseTimeUnit val="month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6" Type="http://schemas.openxmlformats.org/officeDocument/2006/relationships/chart" Target="../charts/chart2.xml"/><Relationship Id="rId5" Type="http://schemas.openxmlformats.org/officeDocument/2006/relationships/chart" Target="../charts/chart1.xml"/><Relationship Id="rId4" Type="http://schemas.openxmlformats.org/officeDocument/2006/relationships/image" Target="../media/image5.emf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333376</xdr:colOff>
          <xdr:row>2</xdr:row>
          <xdr:rowOff>180975</xdr:rowOff>
        </xdr:from>
        <xdr:to>
          <xdr:col>3</xdr:col>
          <xdr:colOff>95250</xdr:colOff>
          <xdr:row>8</xdr:row>
          <xdr:rowOff>190499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B0423C16-7238-B394-FD38-13D15FA6B52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Calculations!$B$32:$B$35" spid="_x0000_s211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33376" y="609600"/>
              <a:ext cx="1590674" cy="1152524"/>
            </a:xfrm>
            <a:prstGeom prst="snip2DiagRect">
              <a:avLst/>
            </a:prstGeom>
            <a:solidFill>
              <a:srgbClr val="FFFFFF">
                <a:shade val="85000"/>
              </a:srgbClr>
            </a:solidFill>
            <a:ln w="88900" cap="sq">
              <a:solidFill>
                <a:srgbClr val="FFFFFF"/>
              </a:solidFill>
              <a:miter lim="800000"/>
            </a:ln>
            <a:effectLst>
              <a:outerShdw blurRad="88900" algn="tl" rotWithShape="0">
                <a:srgbClr val="000000">
                  <a:alpha val="45000"/>
                </a:srgbClr>
              </a:outerShdw>
            </a:effectLst>
            <a:scene3d>
              <a:camera prst="orthographicFront"/>
              <a:lightRig rig="twoPt" dir="t">
                <a:rot lat="0" lon="0" rev="7200000"/>
              </a:lightRig>
            </a:scene3d>
            <a:sp3d>
              <a:bevelT w="25400" h="19050"/>
              <a:contourClr>
                <a:srgbClr val="FFFFFF"/>
              </a:contourClr>
            </a:sp3d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111126</xdr:colOff>
          <xdr:row>2</xdr:row>
          <xdr:rowOff>185737</xdr:rowOff>
        </xdr:from>
        <xdr:to>
          <xdr:col>7</xdr:col>
          <xdr:colOff>187325</xdr:colOff>
          <xdr:row>8</xdr:row>
          <xdr:rowOff>185737</xdr:rowOff>
        </xdr:to>
        <xdr:pic>
          <xdr:nvPicPr>
            <xdr:cNvPr id="3" name="Picture 2">
              <a:extLst>
                <a:ext uri="{FF2B5EF4-FFF2-40B4-BE49-F238E27FC236}">
                  <a16:creationId xmlns:a16="http://schemas.microsoft.com/office/drawing/2014/main" id="{20B0C3B4-AEE9-A778-E536-E4E886F03BC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Calculations!$D$32:$D$35" spid="_x0000_s2118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549526" y="614362"/>
              <a:ext cx="1685924" cy="1143000"/>
            </a:xfrm>
            <a:prstGeom prst="snip2DiagRect">
              <a:avLst/>
            </a:prstGeom>
            <a:solidFill>
              <a:srgbClr val="FFFFFF">
                <a:shade val="85000"/>
              </a:srgbClr>
            </a:solidFill>
            <a:ln w="88900" cap="sq">
              <a:solidFill>
                <a:srgbClr val="FFFFFF"/>
              </a:solidFill>
              <a:miter lim="800000"/>
            </a:ln>
            <a:effectLst>
              <a:outerShdw blurRad="88900" algn="tl" rotWithShape="0">
                <a:srgbClr val="000000">
                  <a:alpha val="45000"/>
                </a:srgbClr>
              </a:outerShdw>
            </a:effectLst>
            <a:scene3d>
              <a:camera prst="orthographicFront"/>
              <a:lightRig rig="twoPt" dir="t">
                <a:rot lat="0" lon="0" rev="7200000"/>
              </a:lightRig>
            </a:scene3d>
            <a:sp3d>
              <a:bevelT w="25400" h="19050"/>
              <a:contourClr>
                <a:srgbClr val="FFFFFF"/>
              </a:contourClr>
            </a:sp3d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593726</xdr:colOff>
          <xdr:row>3</xdr:row>
          <xdr:rowOff>9524</xdr:rowOff>
        </xdr:from>
        <xdr:to>
          <xdr:col>10</xdr:col>
          <xdr:colOff>327025</xdr:colOff>
          <xdr:row>8</xdr:row>
          <xdr:rowOff>171450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43FD4395-C731-FF63-ACD0-1E9AC8FFABB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Calculations!$F$32:$F$35" spid="_x0000_s2119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4860926" y="628649"/>
              <a:ext cx="1685924" cy="1114426"/>
            </a:xfrm>
            <a:prstGeom prst="snip2DiagRect">
              <a:avLst/>
            </a:prstGeom>
            <a:solidFill>
              <a:srgbClr val="FFFFFF">
                <a:shade val="85000"/>
              </a:srgbClr>
            </a:solidFill>
            <a:ln w="88900" cap="sq">
              <a:solidFill>
                <a:srgbClr val="FFFFFF"/>
              </a:solidFill>
              <a:miter lim="800000"/>
            </a:ln>
            <a:effectLst>
              <a:outerShdw blurRad="88900" algn="tl" rotWithShape="0">
                <a:srgbClr val="000000">
                  <a:alpha val="45000"/>
                </a:srgbClr>
              </a:outerShdw>
            </a:effectLst>
            <a:scene3d>
              <a:camera prst="orthographicFront"/>
              <a:lightRig rig="twoPt" dir="t">
                <a:rot lat="0" lon="0" rev="7200000"/>
              </a:lightRig>
            </a:scene3d>
            <a:sp3d>
              <a:bevelT w="25400" h="19050"/>
              <a:contourClr>
                <a:srgbClr val="FFFFFF"/>
              </a:contourClr>
            </a:sp3d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466726</xdr:colOff>
          <xdr:row>3</xdr:row>
          <xdr:rowOff>14287</xdr:rowOff>
        </xdr:from>
        <xdr:to>
          <xdr:col>14</xdr:col>
          <xdr:colOff>323850</xdr:colOff>
          <xdr:row>8</xdr:row>
          <xdr:rowOff>166687</xdr:rowOff>
        </xdr:to>
        <xdr:pic>
          <xdr:nvPicPr>
            <xdr:cNvPr id="5" name="Picture 4">
              <a:extLst>
                <a:ext uri="{FF2B5EF4-FFF2-40B4-BE49-F238E27FC236}">
                  <a16:creationId xmlns:a16="http://schemas.microsoft.com/office/drawing/2014/main" id="{16544AC0-2CA1-2D0F-A56E-B5F37171648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Calculations!$H$32:$H$35" spid="_x0000_s2120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7172326" y="633412"/>
              <a:ext cx="1685924" cy="1104900"/>
            </a:xfrm>
            <a:prstGeom prst="snip2DiagRect">
              <a:avLst/>
            </a:prstGeom>
            <a:solidFill>
              <a:srgbClr val="FFFFFF">
                <a:shade val="85000"/>
              </a:srgbClr>
            </a:solidFill>
            <a:ln w="88900" cap="sq">
              <a:solidFill>
                <a:srgbClr val="FFFFFF"/>
              </a:solidFill>
              <a:miter lim="800000"/>
            </a:ln>
            <a:effectLst>
              <a:outerShdw blurRad="88900" algn="tl" rotWithShape="0">
                <a:srgbClr val="000000">
                  <a:alpha val="45000"/>
                </a:srgbClr>
              </a:outerShdw>
            </a:effectLst>
            <a:scene3d>
              <a:camera prst="orthographicFront"/>
              <a:lightRig rig="twoPt" dir="t">
                <a:rot lat="0" lon="0" rev="7200000"/>
              </a:lightRig>
            </a:scene3d>
            <a:sp3d>
              <a:bevelT w="25400" h="19050"/>
              <a:contourClr>
                <a:srgbClr val="FFFFFF"/>
              </a:contourClr>
            </a:sp3d>
          </xdr:spPr>
        </xdr:pic>
        <xdr:clientData/>
      </xdr:twoCellAnchor>
    </mc:Choice>
    <mc:Fallback/>
  </mc:AlternateContent>
  <xdr:twoCellAnchor>
    <xdr:from>
      <xdr:col>0</xdr:col>
      <xdr:colOff>342900</xdr:colOff>
      <xdr:row>10</xdr:row>
      <xdr:rowOff>19051</xdr:rowOff>
    </xdr:from>
    <xdr:to>
      <xdr:col>6</xdr:col>
      <xdr:colOff>581025</xdr:colOff>
      <xdr:row>22</xdr:row>
      <xdr:rowOff>19051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4AC3002-3BBD-406D-91B4-F5B893A48E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38101</xdr:colOff>
      <xdr:row>10</xdr:row>
      <xdr:rowOff>9524</xdr:rowOff>
    </xdr:from>
    <xdr:to>
      <xdr:col>14</xdr:col>
      <xdr:colOff>457201</xdr:colOff>
      <xdr:row>22</xdr:row>
      <xdr:rowOff>19049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DADA798-E5C6-4FF3-B6C7-15D8BBC2FF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36"/>
  <sheetViews>
    <sheetView showGridLines="0" showRowColHeaders="0" tabSelected="1" workbookViewId="0">
      <selection activeCell="L26" sqref="A1:XFD1048576"/>
    </sheetView>
  </sheetViews>
  <sheetFormatPr defaultRowHeight="15" x14ac:dyDescent="0.25"/>
  <cols>
    <col min="5" max="5" width="5.85546875" customWidth="1"/>
    <col min="8" max="8" width="11" bestFit="1" customWidth="1"/>
  </cols>
  <sheetData>
    <row r="2" spans="2:13" ht="18.75" x14ac:dyDescent="0.3">
      <c r="B2" s="28" t="s">
        <v>24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3">
        <v>42795</v>
      </c>
    </row>
    <row r="23" spans="2:10" ht="12.75" customHeight="1" x14ac:dyDescent="0.25"/>
    <row r="25" spans="2:10" ht="18" thickBot="1" x14ac:dyDescent="0.35">
      <c r="B25" s="27" t="s">
        <v>11</v>
      </c>
      <c r="C25" s="27"/>
      <c r="D25" s="27"/>
      <c r="E25" s="21"/>
      <c r="F25" s="22">
        <v>42795</v>
      </c>
      <c r="G25" s="22">
        <v>42767</v>
      </c>
      <c r="H25" s="24" t="s">
        <v>15</v>
      </c>
      <c r="I25" s="22">
        <v>42430</v>
      </c>
      <c r="J25" s="21" t="s">
        <v>18</v>
      </c>
    </row>
    <row r="26" spans="2:10" ht="15" customHeight="1" thickTop="1" thickBot="1" x14ac:dyDescent="0.35">
      <c r="B26" s="26" t="s">
        <v>10</v>
      </c>
      <c r="C26" s="26"/>
      <c r="D26" s="26"/>
      <c r="E26" s="24">
        <f>H26</f>
        <v>0.19402985074626866</v>
      </c>
      <c r="F26" s="25">
        <f>Calculations!B8</f>
        <v>1200</v>
      </c>
      <c r="G26" s="25">
        <f>Calculations!C8</f>
        <v>1005</v>
      </c>
      <c r="H26" s="24">
        <f>Calculations!D8</f>
        <v>0.19402985074626866</v>
      </c>
      <c r="I26" s="25">
        <f>Calculations!E8</f>
        <v>1082</v>
      </c>
      <c r="J26" s="25">
        <f>Calculations!F8</f>
        <v>16144</v>
      </c>
    </row>
    <row r="27" spans="2:10" ht="18.75" customHeight="1" thickTop="1" thickBot="1" x14ac:dyDescent="0.35">
      <c r="B27" s="26" t="s">
        <v>3</v>
      </c>
      <c r="C27" s="26"/>
      <c r="D27" s="26"/>
      <c r="E27" s="24">
        <f t="shared" ref="E27:E35" si="0">H27</f>
        <v>0.13114754098360656</v>
      </c>
      <c r="F27" s="25">
        <f>Calculations!B9</f>
        <v>828</v>
      </c>
      <c r="G27" s="25">
        <f>Calculations!C9</f>
        <v>732</v>
      </c>
      <c r="H27" s="24">
        <f>Calculations!D9</f>
        <v>0.13114754098360656</v>
      </c>
      <c r="I27" s="25">
        <f>Calculations!E9</f>
        <v>769</v>
      </c>
      <c r="J27" s="25">
        <f>Calculations!F9</f>
        <v>11680</v>
      </c>
    </row>
    <row r="28" spans="2:10" ht="18.75" customHeight="1" thickTop="1" thickBot="1" x14ac:dyDescent="0.35">
      <c r="B28" s="26" t="s">
        <v>4</v>
      </c>
      <c r="C28" s="26"/>
      <c r="D28" s="26"/>
      <c r="E28" s="24">
        <f t="shared" si="0"/>
        <v>0.90909090909090906</v>
      </c>
      <c r="F28" s="25">
        <f>Calculations!B10</f>
        <v>210</v>
      </c>
      <c r="G28" s="25">
        <f>Calculations!C10</f>
        <v>110</v>
      </c>
      <c r="H28" s="24">
        <f>Calculations!D10</f>
        <v>0.90909090909090906</v>
      </c>
      <c r="I28" s="25">
        <f>Calculations!E10</f>
        <v>158</v>
      </c>
      <c r="J28" s="25">
        <f>Calculations!F10</f>
        <v>2694</v>
      </c>
    </row>
    <row r="29" spans="2:10" ht="18.75" customHeight="1" thickTop="1" thickBot="1" x14ac:dyDescent="0.35">
      <c r="B29" s="26" t="s">
        <v>5</v>
      </c>
      <c r="C29" s="26"/>
      <c r="D29" s="26"/>
      <c r="E29" s="24">
        <f t="shared" si="0"/>
        <v>-0.10869565217391304</v>
      </c>
      <c r="F29" s="25">
        <f>Calculations!B11</f>
        <v>82</v>
      </c>
      <c r="G29" s="25">
        <f>Calculations!C11</f>
        <v>92</v>
      </c>
      <c r="H29" s="24">
        <f>Calculations!D11</f>
        <v>-0.10869565217391304</v>
      </c>
      <c r="I29" s="25">
        <f>Calculations!E11</f>
        <v>81</v>
      </c>
      <c r="J29" s="25">
        <f>Calculations!F11</f>
        <v>935</v>
      </c>
    </row>
    <row r="30" spans="2:10" ht="18.75" thickTop="1" thickBot="1" x14ac:dyDescent="0.35">
      <c r="B30" s="26" t="s">
        <v>1</v>
      </c>
      <c r="C30" s="26"/>
      <c r="D30" s="26"/>
      <c r="E30" s="24">
        <f t="shared" si="0"/>
        <v>0.12676056338028169</v>
      </c>
      <c r="F30" s="25">
        <f>Calculations!B12</f>
        <v>80</v>
      </c>
      <c r="G30" s="25">
        <f>Calculations!C12</f>
        <v>71</v>
      </c>
      <c r="H30" s="24">
        <f>Calculations!D12</f>
        <v>0.12676056338028169</v>
      </c>
      <c r="I30" s="25">
        <f>Calculations!E12</f>
        <v>74</v>
      </c>
      <c r="J30" s="25">
        <f>Calculations!F12</f>
        <v>835</v>
      </c>
    </row>
    <row r="31" spans="2:10" ht="18.75" customHeight="1" thickTop="1" thickBot="1" x14ac:dyDescent="0.35">
      <c r="B31" s="26" t="s">
        <v>0</v>
      </c>
      <c r="C31" s="26"/>
      <c r="D31" s="26"/>
      <c r="E31" s="24">
        <f t="shared" si="0"/>
        <v>0.89473684210526316</v>
      </c>
      <c r="F31" s="25">
        <f>Calculations!B13</f>
        <v>36</v>
      </c>
      <c r="G31" s="25">
        <f>Calculations!C13</f>
        <v>19</v>
      </c>
      <c r="H31" s="24">
        <f>Calculations!D13</f>
        <v>0.89473684210526316</v>
      </c>
      <c r="I31" s="25">
        <f>Calculations!E13</f>
        <v>43</v>
      </c>
      <c r="J31" s="25">
        <f>Calculations!F13</f>
        <v>385</v>
      </c>
    </row>
    <row r="32" spans="2:10" ht="18.75" customHeight="1" thickTop="1" thickBot="1" x14ac:dyDescent="0.35">
      <c r="B32" s="26" t="s">
        <v>6</v>
      </c>
      <c r="C32" s="26"/>
      <c r="D32" s="26"/>
      <c r="E32" s="24">
        <f t="shared" si="0"/>
        <v>0.18052738336713997</v>
      </c>
      <c r="F32" s="25">
        <f>Calculations!B14</f>
        <v>1164</v>
      </c>
      <c r="G32" s="25">
        <f>Calculations!C14</f>
        <v>986</v>
      </c>
      <c r="H32" s="24">
        <f>Calculations!D14</f>
        <v>0.18052738336713997</v>
      </c>
      <c r="I32" s="25">
        <f>Calculations!E14</f>
        <v>1039</v>
      </c>
      <c r="J32" s="25">
        <f>Calculations!F14</f>
        <v>15759</v>
      </c>
    </row>
    <row r="33" spans="2:10" ht="18.75" customHeight="1" thickTop="1" thickBot="1" x14ac:dyDescent="0.35">
      <c r="B33" s="26" t="s">
        <v>7</v>
      </c>
      <c r="C33" s="26"/>
      <c r="D33" s="26"/>
      <c r="E33" s="24">
        <f t="shared" si="0"/>
        <v>-0.10071942446043165</v>
      </c>
      <c r="F33" s="25">
        <f>Calculations!B15</f>
        <v>125</v>
      </c>
      <c r="G33" s="25">
        <f>Calculations!C15</f>
        <v>139</v>
      </c>
      <c r="H33" s="24">
        <f>Calculations!D15</f>
        <v>-0.10071942446043165</v>
      </c>
      <c r="I33" s="25">
        <f>Calculations!E15</f>
        <v>110</v>
      </c>
      <c r="J33" s="25">
        <f>Calculations!F15</f>
        <v>1355</v>
      </c>
    </row>
    <row r="34" spans="2:10" ht="18.75" customHeight="1" thickTop="1" thickBot="1" x14ac:dyDescent="0.35">
      <c r="B34" s="26" t="s">
        <v>8</v>
      </c>
      <c r="C34" s="26"/>
      <c r="D34" s="26"/>
      <c r="E34" s="24">
        <f t="shared" si="0"/>
        <v>-0.19090909090909092</v>
      </c>
      <c r="F34" s="25">
        <f>Calculations!B16</f>
        <v>89</v>
      </c>
      <c r="G34" s="25">
        <f>Calculations!C16</f>
        <v>110</v>
      </c>
      <c r="H34" s="24">
        <f>Calculations!D16</f>
        <v>-0.19090909090909092</v>
      </c>
      <c r="I34" s="25">
        <f>Calculations!E16</f>
        <v>122</v>
      </c>
      <c r="J34" s="25">
        <f>Calculations!F16</f>
        <v>1589</v>
      </c>
    </row>
    <row r="35" spans="2:10" ht="18.75" customHeight="1" thickTop="1" thickBot="1" x14ac:dyDescent="0.35">
      <c r="B35" s="26" t="s">
        <v>9</v>
      </c>
      <c r="C35" s="26"/>
      <c r="D35" s="26"/>
      <c r="E35" s="24">
        <f t="shared" si="0"/>
        <v>0.2781954887218045</v>
      </c>
      <c r="F35" s="25">
        <f>Calculations!B17</f>
        <v>1700</v>
      </c>
      <c r="G35" s="25">
        <f>Calculations!C17</f>
        <v>1330</v>
      </c>
      <c r="H35" s="24">
        <f>Calculations!D17</f>
        <v>0.2781954887218045</v>
      </c>
      <c r="I35" s="25">
        <f>Calculations!E17</f>
        <v>1573</v>
      </c>
      <c r="J35" s="25">
        <f>Calculations!F17</f>
        <v>18989</v>
      </c>
    </row>
    <row r="36" spans="2:10" ht="15.75" thickTop="1" x14ac:dyDescent="0.25"/>
  </sheetData>
  <mergeCells count="12">
    <mergeCell ref="B31:D31"/>
    <mergeCell ref="B32:D32"/>
    <mergeCell ref="B33:D33"/>
    <mergeCell ref="B34:D34"/>
    <mergeCell ref="B35:D35"/>
    <mergeCell ref="B29:D29"/>
    <mergeCell ref="B30:D30"/>
    <mergeCell ref="B25:D25"/>
    <mergeCell ref="B2:L2"/>
    <mergeCell ref="B26:D26"/>
    <mergeCell ref="B27:D27"/>
    <mergeCell ref="B28:D28"/>
  </mergeCells>
  <pageMargins left="0.7" right="0.7" top="0.75" bottom="0.75" header="0.3" footer="0.3"/>
  <pageSetup orientation="portrait" r:id="rId1"/>
  <drawing r:id="rId2"/>
  <legacyDrawing r:id="rId3"/>
  <picture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DFC5D7CD-C245-4B04-A523-BEC5F379D993}">
            <x14:iconSet iconSet="3Triangles" showValue="0" custom="1">
              <x14:cfvo type="percent">
                <xm:f>0</xm:f>
              </x14:cfvo>
              <x14:cfvo type="percent" gte="0">
                <xm:f>0</xm:f>
              </x14:cfvo>
              <x14:cfvo type="percent" gte="0">
                <xm:f>0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E26:E35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93424D-C303-49AA-BB2E-58B916533264}">
          <x14:formula1>
            <xm:f>Data!$A$15:$A$26</xm:f>
          </x14:formula1>
          <xm:sqref>M2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5"/>
  <sheetViews>
    <sheetView showGridLines="0" topLeftCell="F21" workbookViewId="0">
      <selection activeCell="G33" sqref="G33"/>
    </sheetView>
  </sheetViews>
  <sheetFormatPr defaultRowHeight="15" x14ac:dyDescent="0.25"/>
  <cols>
    <col min="1" max="1" width="22.5703125" bestFit="1" customWidth="1"/>
    <col min="2" max="2" width="14.140625" bestFit="1" customWidth="1"/>
    <col min="3" max="3" width="15.140625" bestFit="1" customWidth="1"/>
    <col min="4" max="4" width="12.7109375" bestFit="1" customWidth="1"/>
    <col min="5" max="5" width="22.5703125" bestFit="1" customWidth="1"/>
    <col min="6" max="6" width="19.7109375" bestFit="1" customWidth="1"/>
    <col min="8" max="8" width="22.85546875" bestFit="1" customWidth="1"/>
  </cols>
  <sheetData>
    <row r="1" spans="1:18" ht="15.75" thickBot="1" x14ac:dyDescent="0.3"/>
    <row r="2" spans="1:18" ht="16.5" thickTop="1" thickBot="1" x14ac:dyDescent="0.3">
      <c r="A2" s="11" t="s">
        <v>12</v>
      </c>
      <c r="B2" s="14">
        <f>Dashboard!M2</f>
        <v>42795</v>
      </c>
      <c r="C2" s="3"/>
    </row>
    <row r="3" spans="1:18" ht="16.5" thickTop="1" thickBot="1" x14ac:dyDescent="0.3">
      <c r="A3" s="11" t="s">
        <v>13</v>
      </c>
      <c r="B3" s="14">
        <f>EOMONTH(B2,-2)+1</f>
        <v>42767</v>
      </c>
      <c r="C3" s="3"/>
    </row>
    <row r="4" spans="1:18" ht="16.5" thickTop="1" thickBot="1" x14ac:dyDescent="0.3">
      <c r="A4" s="11" t="s">
        <v>14</v>
      </c>
      <c r="B4" s="14">
        <f>EOMONTH(B2,-13)+1</f>
        <v>42430</v>
      </c>
      <c r="C4" s="3"/>
    </row>
    <row r="5" spans="1:18" ht="16.5" thickTop="1" thickBot="1" x14ac:dyDescent="0.3">
      <c r="C5" s="3"/>
    </row>
    <row r="6" spans="1:18" ht="16.5" thickTop="1" thickBot="1" x14ac:dyDescent="0.3">
      <c r="A6" s="11"/>
      <c r="B6" s="12" t="s">
        <v>12</v>
      </c>
      <c r="C6" s="13" t="s">
        <v>13</v>
      </c>
      <c r="D6" s="12" t="s">
        <v>15</v>
      </c>
      <c r="E6" s="12" t="s">
        <v>16</v>
      </c>
      <c r="F6" s="30" t="s">
        <v>17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</row>
    <row r="7" spans="1:18" ht="16.5" thickTop="1" thickBot="1" x14ac:dyDescent="0.3">
      <c r="A7" s="11"/>
      <c r="B7" s="14">
        <f>B2</f>
        <v>42795</v>
      </c>
      <c r="C7" s="14">
        <f>B3</f>
        <v>42767</v>
      </c>
      <c r="D7" s="11"/>
      <c r="E7" s="14">
        <f>B4</f>
        <v>42430</v>
      </c>
      <c r="F7" s="11" t="s">
        <v>18</v>
      </c>
      <c r="G7" s="14">
        <f>B7</f>
        <v>42795</v>
      </c>
      <c r="H7" s="14">
        <f>EOMONTH(G7,-2)+1</f>
        <v>42767</v>
      </c>
      <c r="I7" s="14">
        <f t="shared" ref="I7:R7" si="0">EOMONTH(H7,-2)+1</f>
        <v>42736</v>
      </c>
      <c r="J7" s="14">
        <f t="shared" si="0"/>
        <v>42705</v>
      </c>
      <c r="K7" s="14">
        <f t="shared" si="0"/>
        <v>42675</v>
      </c>
      <c r="L7" s="14">
        <f t="shared" si="0"/>
        <v>42644</v>
      </c>
      <c r="M7" s="14">
        <f t="shared" si="0"/>
        <v>42614</v>
      </c>
      <c r="N7" s="14">
        <f t="shared" si="0"/>
        <v>42583</v>
      </c>
      <c r="O7" s="14">
        <f t="shared" si="0"/>
        <v>42552</v>
      </c>
      <c r="P7" s="14">
        <f t="shared" si="0"/>
        <v>42522</v>
      </c>
      <c r="Q7" s="14">
        <f>EOMONTH(P7,-2)+1</f>
        <v>42491</v>
      </c>
      <c r="R7" s="14">
        <f t="shared" si="0"/>
        <v>42461</v>
      </c>
    </row>
    <row r="8" spans="1:18" ht="16.5" thickTop="1" thickBot="1" x14ac:dyDescent="0.3">
      <c r="A8" s="15" t="s">
        <v>10</v>
      </c>
      <c r="B8" s="11" cm="1">
        <f t="array" ref="B8">+SUMPRODUCT((Data!$A$3:$A$26=Calculations!$B$7)*(Data!$B$2:$K$2=Calculations!A8)*(Data!$B$3:$K$26))</f>
        <v>1200</v>
      </c>
      <c r="C8" s="11" cm="1">
        <f t="array" ref="C8">+SUMPRODUCT((Data!$A$3:$A$26=Calculations!$C$7)*(Data!$B$2:$K$2=Calculations!A8)*(Data!$B$3:$K$26))</f>
        <v>1005</v>
      </c>
      <c r="D8" s="16">
        <f>(B8-C8)/C8</f>
        <v>0.19402985074626866</v>
      </c>
      <c r="E8" s="11" cm="1">
        <f t="array" ref="E8">+SUMPRODUCT((Data!$A$3:$A$26=Calculations!$E$7)*(Data!$B$2:$K$2=Calculations!A8)*(Data!$B$3:$K$26))</f>
        <v>1082</v>
      </c>
      <c r="F8" s="17">
        <f>SUM(G8:R8)</f>
        <v>16144</v>
      </c>
      <c r="G8" s="11">
        <f>B8</f>
        <v>1200</v>
      </c>
      <c r="H8" s="11">
        <f>C8</f>
        <v>1005</v>
      </c>
      <c r="I8" s="11" cm="1">
        <f t="array" ref="I8">+SUMPRODUCT((Data!$A$3:$A$26=Calculations!$I$7)*(Data!$B$2:$K$2=Calculations!A8)*(Data!$B$3:$K$26))</f>
        <v>1560</v>
      </c>
      <c r="J8" s="11" cm="1">
        <f t="array" ref="J8">+SUMPRODUCT((Data!$A$3:$A$26=Calculations!$J$7)*(Data!$B$2:$K$2=Calculations!A8)*(Data!$B$3:$K$26))</f>
        <v>1410</v>
      </c>
      <c r="K8" s="11" cm="1">
        <f t="array" ref="K8">+SUMPRODUCT((Data!$A$3:$A$26=Calculations!$K$7)*(Data!$B$2:$K$2=Calculations!A8)*(Data!$B$3:$K$26))</f>
        <v>997</v>
      </c>
      <c r="L8" s="11" cm="1">
        <f t="array" ref="L8">+SUMPRODUCT((Data!$A$3:$A$26=Calculations!$L$7)*(Data!$B$2:$K$2=Calculations!A8)*(Data!$B$3:$K$26))</f>
        <v>1459</v>
      </c>
      <c r="M8" s="11" cm="1">
        <f t="array" ref="M8">+SUMPRODUCT((Data!$A$3:$A$26=Calculations!$M$7)*(Data!$B$2:$K$2=Calculations!A8)*(Data!$B$3:$K$26))</f>
        <v>1492</v>
      </c>
      <c r="N8" s="11" cm="1">
        <f t="array" ref="N8">+SUMPRODUCT((Data!$A$3:$A$26=Calculations!$N$7)*(Data!$B$2:$K$2=Calculations!A8)*(Data!$B$3:$K$26))</f>
        <v>1125</v>
      </c>
      <c r="O8" s="11" cm="1">
        <f t="array" ref="O8">+SUMPRODUCT((Data!$A$3:$A$26=Calculations!$O$7)*(Data!$B$2:$K$2=Calculations!A8)*(Data!$B$3:$K$26))</f>
        <v>1707</v>
      </c>
      <c r="P8" s="11" cm="1">
        <f t="array" ref="P8">+SUMPRODUCT((Data!$A$3:$A$26=Calculations!$P$7)*(Data!$B$2:$K$2=Calculations!A8)*(Data!$B$3:$K$26))</f>
        <v>1482</v>
      </c>
      <c r="Q8" s="11" cm="1">
        <f t="array" ref="Q8">+SUMPRODUCT((Data!$A$3:$A$26=Calculations!$Q$7)*(Data!$B$2:$K$2=Calculations!A8)*(Data!$B$3:$K$26))</f>
        <v>1210</v>
      </c>
      <c r="R8" s="11" cm="1">
        <f t="array" ref="R8">+SUMPRODUCT((Data!$A$3:$A$26=Calculations!$R$7)*(Data!$B$2:$K$2=Calculations!A8)*(Data!$B$3:$K$26))</f>
        <v>1497</v>
      </c>
    </row>
    <row r="9" spans="1:18" ht="16.5" thickTop="1" thickBot="1" x14ac:dyDescent="0.3">
      <c r="A9" s="15" t="s">
        <v>3</v>
      </c>
      <c r="B9" s="11" cm="1">
        <f t="array" ref="B9">+SUMPRODUCT((Data!$A$3:$A$26=Calculations!$B$7)*(Data!$B$2:$K$2=Calculations!A9)*(Data!$B$3:$K$26))</f>
        <v>828</v>
      </c>
      <c r="C9" s="11" cm="1">
        <f t="array" ref="C9">+SUMPRODUCT((Data!$A$3:$A$26=Calculations!$C$7)*(Data!$B$2:$K$2=Calculations!A9)*(Data!$B$3:$K$26))</f>
        <v>732</v>
      </c>
      <c r="D9" s="16">
        <f t="shared" ref="D9:D17" si="1">(B9-C9)/C9</f>
        <v>0.13114754098360656</v>
      </c>
      <c r="E9" s="11" cm="1">
        <f t="array" ref="E9">+SUMPRODUCT((Data!$A$3:$A$26=Calculations!$E$7)*(Data!$B$2:$K$2=Calculations!A9)*(Data!$B$3:$K$26))</f>
        <v>769</v>
      </c>
      <c r="F9" s="17">
        <f t="shared" ref="F9:F17" si="2">SUM(G9:R9)</f>
        <v>11680</v>
      </c>
      <c r="G9" s="11">
        <f t="shared" ref="G9:G17" si="3">B9</f>
        <v>828</v>
      </c>
      <c r="H9" s="11">
        <f t="shared" ref="H9:H17" si="4">C9</f>
        <v>732</v>
      </c>
      <c r="I9" s="11" cm="1">
        <f t="array" ref="I9">+SUMPRODUCT((Data!$A$3:$A$26=Calculations!$I$7)*(Data!$B$2:$K$2=Calculations!A9)*(Data!$B$3:$K$26))</f>
        <v>1146</v>
      </c>
      <c r="J9" s="11" cm="1">
        <f t="array" ref="J9">+SUMPRODUCT((Data!$A$3:$A$26=Calculations!$J$7)*(Data!$B$2:$K$2=Calculations!A9)*(Data!$B$3:$K$26))</f>
        <v>950</v>
      </c>
      <c r="K9" s="11" cm="1">
        <f t="array" ref="K9">+SUMPRODUCT((Data!$A$3:$A$26=Calculations!$K$7)*(Data!$B$2:$K$2=Calculations!A9)*(Data!$B$3:$K$26))</f>
        <v>771</v>
      </c>
      <c r="L9" s="11" cm="1">
        <f t="array" ref="L9">+SUMPRODUCT((Data!$A$3:$A$26=Calculations!$L$7)*(Data!$B$2:$K$2=Calculations!A9)*(Data!$B$3:$K$26))</f>
        <v>1025</v>
      </c>
      <c r="M9" s="11" cm="1">
        <f t="array" ref="M9">+SUMPRODUCT((Data!$A$3:$A$26=Calculations!$M$7)*(Data!$B$2:$K$2=Calculations!A9)*(Data!$B$3:$K$26))</f>
        <v>1006</v>
      </c>
      <c r="N9" s="11" cm="1">
        <f t="array" ref="N9">+SUMPRODUCT((Data!$A$3:$A$26=Calculations!$N$7)*(Data!$B$2:$K$2=Calculations!A9)*(Data!$B$3:$K$26))</f>
        <v>830</v>
      </c>
      <c r="O9" s="11" cm="1">
        <f t="array" ref="O9">+SUMPRODUCT((Data!$A$3:$A$26=Calculations!$O$7)*(Data!$B$2:$K$2=Calculations!A9)*(Data!$B$3:$K$26))</f>
        <v>1300</v>
      </c>
      <c r="P9" s="11" cm="1">
        <f t="array" ref="P9">+SUMPRODUCT((Data!$A$3:$A$26=Calculations!$P$7)*(Data!$B$2:$K$2=Calculations!A9)*(Data!$B$3:$K$26))</f>
        <v>1039</v>
      </c>
      <c r="Q9" s="11" cm="1">
        <f t="array" ref="Q9">+SUMPRODUCT((Data!$A$3:$A$26=Calculations!$Q$7)*(Data!$B$2:$K$2=Calculations!A9)*(Data!$B$3:$K$26))</f>
        <v>821</v>
      </c>
      <c r="R9" s="11" cm="1">
        <f t="array" ref="R9">+SUMPRODUCT((Data!$A$3:$A$26=Calculations!$R$7)*(Data!$B$2:$K$2=Calculations!A9)*(Data!$B$3:$K$26))</f>
        <v>1232</v>
      </c>
    </row>
    <row r="10" spans="1:18" ht="16.5" thickTop="1" thickBot="1" x14ac:dyDescent="0.3">
      <c r="A10" s="15" t="s">
        <v>4</v>
      </c>
      <c r="B10" s="11" cm="1">
        <f t="array" ref="B10">+SUMPRODUCT((Data!$A$3:$A$26=Calculations!$B$7)*(Data!$B$2:$K$2=Calculations!A10)*(Data!$B$3:$K$26))</f>
        <v>210</v>
      </c>
      <c r="C10" s="11" cm="1">
        <f t="array" ref="C10">+SUMPRODUCT((Data!$A$3:$A$26=Calculations!$C$7)*(Data!$B$2:$K$2=Calculations!A10)*(Data!$B$3:$K$26))</f>
        <v>110</v>
      </c>
      <c r="D10" s="16">
        <f t="shared" si="1"/>
        <v>0.90909090909090906</v>
      </c>
      <c r="E10" s="11" cm="1">
        <f t="array" ref="E10">+SUMPRODUCT((Data!$A$3:$A$26=Calculations!$E$7)*(Data!$B$2:$K$2=Calculations!A10)*(Data!$B$3:$K$26))</f>
        <v>158</v>
      </c>
      <c r="F10" s="17">
        <f t="shared" si="2"/>
        <v>2694</v>
      </c>
      <c r="G10" s="11">
        <f t="shared" si="3"/>
        <v>210</v>
      </c>
      <c r="H10" s="11">
        <f t="shared" si="4"/>
        <v>110</v>
      </c>
      <c r="I10" s="11" cm="1">
        <f t="array" ref="I10">+SUMPRODUCT((Data!$A$3:$A$26=Calculations!$I$7)*(Data!$B$2:$K$2=Calculations!A10)*(Data!$B$3:$K$26))</f>
        <v>230</v>
      </c>
      <c r="J10" s="11" cm="1">
        <f t="array" ref="J10">+SUMPRODUCT((Data!$A$3:$A$26=Calculations!$J$7)*(Data!$B$2:$K$2=Calculations!A10)*(Data!$B$3:$K$26))</f>
        <v>332</v>
      </c>
      <c r="K10" s="11" cm="1">
        <f t="array" ref="K10">+SUMPRODUCT((Data!$A$3:$A$26=Calculations!$K$7)*(Data!$B$2:$K$2=Calculations!A10)*(Data!$B$3:$K$26))</f>
        <v>115</v>
      </c>
      <c r="L10" s="11" cm="1">
        <f t="array" ref="L10">+SUMPRODUCT((Data!$A$3:$A$26=Calculations!$L$7)*(Data!$B$2:$K$2=Calculations!A10)*(Data!$B$3:$K$26))</f>
        <v>287</v>
      </c>
      <c r="M10" s="11" cm="1">
        <f t="array" ref="M10">+SUMPRODUCT((Data!$A$3:$A$26=Calculations!$M$7)*(Data!$B$2:$K$2=Calculations!A10)*(Data!$B$3:$K$26))</f>
        <v>350</v>
      </c>
      <c r="N10" s="11" cm="1">
        <f t="array" ref="N10">+SUMPRODUCT((Data!$A$3:$A$26=Calculations!$N$7)*(Data!$B$2:$K$2=Calculations!A10)*(Data!$B$3:$K$26))</f>
        <v>172</v>
      </c>
      <c r="O10" s="11" cm="1">
        <f t="array" ref="O10">+SUMPRODUCT((Data!$A$3:$A$26=Calculations!$O$7)*(Data!$B$2:$K$2=Calculations!A10)*(Data!$B$3:$K$26))</f>
        <v>281</v>
      </c>
      <c r="P10" s="11" cm="1">
        <f t="array" ref="P10">+SUMPRODUCT((Data!$A$3:$A$26=Calculations!$P$7)*(Data!$B$2:$K$2=Calculations!A10)*(Data!$B$3:$K$26))</f>
        <v>269</v>
      </c>
      <c r="Q10" s="11" cm="1">
        <f t="array" ref="Q10">+SUMPRODUCT((Data!$A$3:$A$26=Calculations!$Q$7)*(Data!$B$2:$K$2=Calculations!A10)*(Data!$B$3:$K$26))</f>
        <v>225</v>
      </c>
      <c r="R10" s="11" cm="1">
        <f t="array" ref="R10">+SUMPRODUCT((Data!$A$3:$A$26=Calculations!$R$7)*(Data!$B$2:$K$2=Calculations!A10)*(Data!$B$3:$K$26))</f>
        <v>113</v>
      </c>
    </row>
    <row r="11" spans="1:18" ht="16.5" thickTop="1" thickBot="1" x14ac:dyDescent="0.3">
      <c r="A11" s="15" t="s">
        <v>5</v>
      </c>
      <c r="B11" s="11" cm="1">
        <f t="array" ref="B11">+SUMPRODUCT((Data!$A$3:$A$26=Calculations!$B$7)*(Data!$B$2:$K$2=Calculations!A11)*(Data!$B$3:$K$26))</f>
        <v>82</v>
      </c>
      <c r="C11" s="11" cm="1">
        <f t="array" ref="C11">+SUMPRODUCT((Data!$A$3:$A$26=Calculations!$C$7)*(Data!$B$2:$K$2=Calculations!A11)*(Data!$B$3:$K$26))</f>
        <v>92</v>
      </c>
      <c r="D11" s="16">
        <f t="shared" si="1"/>
        <v>-0.10869565217391304</v>
      </c>
      <c r="E11" s="11" cm="1">
        <f t="array" ref="E11">+SUMPRODUCT((Data!$A$3:$A$26=Calculations!$E$7)*(Data!$B$2:$K$2=Calculations!A11)*(Data!$B$3:$K$26))</f>
        <v>81</v>
      </c>
      <c r="F11" s="17">
        <f t="shared" si="2"/>
        <v>935</v>
      </c>
      <c r="G11" s="11">
        <f t="shared" si="3"/>
        <v>82</v>
      </c>
      <c r="H11" s="11">
        <f t="shared" si="4"/>
        <v>92</v>
      </c>
      <c r="I11" s="11" cm="1">
        <f t="array" ref="I11">+SUMPRODUCT((Data!$A$3:$A$26=Calculations!$I$7)*(Data!$B$2:$K$2=Calculations!A11)*(Data!$B$3:$K$26))</f>
        <v>112</v>
      </c>
      <c r="J11" s="11" cm="1">
        <f t="array" ref="J11">+SUMPRODUCT((Data!$A$3:$A$26=Calculations!$J$7)*(Data!$B$2:$K$2=Calculations!A11)*(Data!$B$3:$K$26))</f>
        <v>65</v>
      </c>
      <c r="K11" s="11" cm="1">
        <f t="array" ref="K11">+SUMPRODUCT((Data!$A$3:$A$26=Calculations!$K$7)*(Data!$B$2:$K$2=Calculations!A11)*(Data!$B$3:$K$26))</f>
        <v>53</v>
      </c>
      <c r="L11" s="11" cm="1">
        <f t="array" ref="L11">+SUMPRODUCT((Data!$A$3:$A$26=Calculations!$L$7)*(Data!$B$2:$K$2=Calculations!A11)*(Data!$B$3:$K$26))</f>
        <v>60</v>
      </c>
      <c r="M11" s="11" cm="1">
        <f t="array" ref="M11">+SUMPRODUCT((Data!$A$3:$A$26=Calculations!$M$7)*(Data!$B$2:$K$2=Calculations!A11)*(Data!$B$3:$K$26))</f>
        <v>54</v>
      </c>
      <c r="N11" s="11" cm="1">
        <f t="array" ref="N11">+SUMPRODUCT((Data!$A$3:$A$26=Calculations!$N$7)*(Data!$B$2:$K$2=Calculations!A11)*(Data!$B$3:$K$26))</f>
        <v>59</v>
      </c>
      <c r="O11" s="11" cm="1">
        <f t="array" ref="O11">+SUMPRODUCT((Data!$A$3:$A$26=Calculations!$O$7)*(Data!$B$2:$K$2=Calculations!A11)*(Data!$B$3:$K$26))</f>
        <v>63</v>
      </c>
      <c r="P11" s="11" cm="1">
        <f t="array" ref="P11">+SUMPRODUCT((Data!$A$3:$A$26=Calculations!$P$7)*(Data!$B$2:$K$2=Calculations!A11)*(Data!$B$3:$K$26))</f>
        <v>116</v>
      </c>
      <c r="Q11" s="11" cm="1">
        <f t="array" ref="Q11">+SUMPRODUCT((Data!$A$3:$A$26=Calculations!$Q$7)*(Data!$B$2:$K$2=Calculations!A11)*(Data!$B$3:$K$26))</f>
        <v>102</v>
      </c>
      <c r="R11" s="11" cm="1">
        <f t="array" ref="R11">+SUMPRODUCT((Data!$A$3:$A$26=Calculations!$R$7)*(Data!$B$2:$K$2=Calculations!A11)*(Data!$B$3:$K$26))</f>
        <v>77</v>
      </c>
    </row>
    <row r="12" spans="1:18" ht="16.5" thickTop="1" thickBot="1" x14ac:dyDescent="0.3">
      <c r="A12" s="15" t="s">
        <v>1</v>
      </c>
      <c r="B12" s="11" cm="1">
        <f t="array" ref="B12">+SUMPRODUCT((Data!$A$3:$A$26=Calculations!$B$7)*(Data!$B$2:$K$2=Calculations!A12)*(Data!$B$3:$K$26))</f>
        <v>80</v>
      </c>
      <c r="C12" s="11" cm="1">
        <f t="array" ref="C12">+SUMPRODUCT((Data!$A$3:$A$26=Calculations!$C$7)*(Data!$B$2:$K$2=Calculations!A12)*(Data!$B$3:$K$26))</f>
        <v>71</v>
      </c>
      <c r="D12" s="16">
        <f t="shared" si="1"/>
        <v>0.12676056338028169</v>
      </c>
      <c r="E12" s="11" cm="1">
        <f t="array" ref="E12">+SUMPRODUCT((Data!$A$3:$A$26=Calculations!$E$7)*(Data!$B$2:$K$2=Calculations!A12)*(Data!$B$3:$K$26))</f>
        <v>74</v>
      </c>
      <c r="F12" s="17">
        <f t="shared" si="2"/>
        <v>835</v>
      </c>
      <c r="G12" s="11">
        <f t="shared" si="3"/>
        <v>80</v>
      </c>
      <c r="H12" s="11">
        <f t="shared" si="4"/>
        <v>71</v>
      </c>
      <c r="I12" s="11" cm="1">
        <f t="array" ref="I12">+SUMPRODUCT((Data!$A$3:$A$26=Calculations!$I$7)*(Data!$B$2:$K$2=Calculations!A12)*(Data!$B$3:$K$26))</f>
        <v>72</v>
      </c>
      <c r="J12" s="11" cm="1">
        <f t="array" ref="J12">+SUMPRODUCT((Data!$A$3:$A$26=Calculations!$J$7)*(Data!$B$2:$K$2=Calculations!A12)*(Data!$B$3:$K$26))</f>
        <v>63</v>
      </c>
      <c r="K12" s="11" cm="1">
        <f t="array" ref="K12">+SUMPRODUCT((Data!$A$3:$A$26=Calculations!$K$7)*(Data!$B$2:$K$2=Calculations!A12)*(Data!$B$3:$K$26))</f>
        <v>58</v>
      </c>
      <c r="L12" s="11" cm="1">
        <f t="array" ref="L12">+SUMPRODUCT((Data!$A$3:$A$26=Calculations!$L$7)*(Data!$B$2:$K$2=Calculations!A12)*(Data!$B$3:$K$26))</f>
        <v>87</v>
      </c>
      <c r="M12" s="11" cm="1">
        <f t="array" ref="M12">+SUMPRODUCT((Data!$A$3:$A$26=Calculations!$M$7)*(Data!$B$2:$K$2=Calculations!A12)*(Data!$B$3:$K$26))</f>
        <v>82</v>
      </c>
      <c r="N12" s="11" cm="1">
        <f t="array" ref="N12">+SUMPRODUCT((Data!$A$3:$A$26=Calculations!$N$7)*(Data!$B$2:$K$2=Calculations!A12)*(Data!$B$3:$K$26))</f>
        <v>64</v>
      </c>
      <c r="O12" s="11" cm="1">
        <f t="array" ref="O12">+SUMPRODUCT((Data!$A$3:$A$26=Calculations!$O$7)*(Data!$B$2:$K$2=Calculations!A12)*(Data!$B$3:$K$26))</f>
        <v>63</v>
      </c>
      <c r="P12" s="11" cm="1">
        <f t="array" ref="P12">+SUMPRODUCT((Data!$A$3:$A$26=Calculations!$P$7)*(Data!$B$2:$K$2=Calculations!A12)*(Data!$B$3:$K$26))</f>
        <v>58</v>
      </c>
      <c r="Q12" s="11" cm="1">
        <f t="array" ref="Q12">+SUMPRODUCT((Data!$A$3:$A$26=Calculations!$Q$7)*(Data!$B$2:$K$2=Calculations!A12)*(Data!$B$3:$K$26))</f>
        <v>62</v>
      </c>
      <c r="R12" s="11" cm="1">
        <f t="array" ref="R12">+SUMPRODUCT((Data!$A$3:$A$26=Calculations!$R$7)*(Data!$B$2:$K$2=Calculations!A12)*(Data!$B$3:$K$26))</f>
        <v>75</v>
      </c>
    </row>
    <row r="13" spans="1:18" ht="16.5" thickTop="1" thickBot="1" x14ac:dyDescent="0.3">
      <c r="A13" s="15" t="s">
        <v>0</v>
      </c>
      <c r="B13" s="11" cm="1">
        <f t="array" ref="B13">+SUMPRODUCT((Data!$A$3:$A$26=Calculations!$B$7)*(Data!$B$2:$K$2=Calculations!A13)*(Data!$B$3:$K$26))</f>
        <v>36</v>
      </c>
      <c r="C13" s="11" cm="1">
        <f t="array" ref="C13">+SUMPRODUCT((Data!$A$3:$A$26=Calculations!$C$7)*(Data!$B$2:$K$2=Calculations!A13)*(Data!$B$3:$K$26))</f>
        <v>19</v>
      </c>
      <c r="D13" s="16">
        <f t="shared" si="1"/>
        <v>0.89473684210526316</v>
      </c>
      <c r="E13" s="11" cm="1">
        <f t="array" ref="E13">+SUMPRODUCT((Data!$A$3:$A$26=Calculations!$E$7)*(Data!$B$2:$K$2=Calculations!A13)*(Data!$B$3:$K$26))</f>
        <v>43</v>
      </c>
      <c r="F13" s="17">
        <f t="shared" si="2"/>
        <v>385</v>
      </c>
      <c r="G13" s="11">
        <f t="shared" si="3"/>
        <v>36</v>
      </c>
      <c r="H13" s="11">
        <f t="shared" si="4"/>
        <v>19</v>
      </c>
      <c r="I13" s="11" cm="1">
        <f t="array" ref="I13">+SUMPRODUCT((Data!$A$3:$A$26=Calculations!$I$7)*(Data!$B$2:$K$2=Calculations!A13)*(Data!$B$3:$K$26))</f>
        <v>11</v>
      </c>
      <c r="J13" s="11" cm="1">
        <f t="array" ref="J13">+SUMPRODUCT((Data!$A$3:$A$26=Calculations!$J$7)*(Data!$B$2:$K$2=Calculations!A13)*(Data!$B$3:$K$26))</f>
        <v>39</v>
      </c>
      <c r="K13" s="11" cm="1">
        <f t="array" ref="K13">+SUMPRODUCT((Data!$A$3:$A$26=Calculations!$K$7)*(Data!$B$2:$K$2=Calculations!A13)*(Data!$B$3:$K$26))</f>
        <v>37</v>
      </c>
      <c r="L13" s="11" cm="1">
        <f t="array" ref="L13">+SUMPRODUCT((Data!$A$3:$A$26=Calculations!$L$7)*(Data!$B$2:$K$2=Calculations!A13)*(Data!$B$3:$K$26))</f>
        <v>30</v>
      </c>
      <c r="M13" s="11" cm="1">
        <f t="array" ref="M13">+SUMPRODUCT((Data!$A$3:$A$26=Calculations!$M$7)*(Data!$B$2:$K$2=Calculations!A13)*(Data!$B$3:$K$26))</f>
        <v>44</v>
      </c>
      <c r="N13" s="11" cm="1">
        <f t="array" ref="N13">+SUMPRODUCT((Data!$A$3:$A$26=Calculations!$N$7)*(Data!$B$2:$K$2=Calculations!A13)*(Data!$B$3:$K$26))</f>
        <v>46</v>
      </c>
      <c r="O13" s="11" cm="1">
        <f t="array" ref="O13">+SUMPRODUCT((Data!$A$3:$A$26=Calculations!$O$7)*(Data!$B$2:$K$2=Calculations!A13)*(Data!$B$3:$K$26))</f>
        <v>46</v>
      </c>
      <c r="P13" s="11" cm="1">
        <f t="array" ref="P13">+SUMPRODUCT((Data!$A$3:$A$26=Calculations!$P$7)*(Data!$B$2:$K$2=Calculations!A13)*(Data!$B$3:$K$26))</f>
        <v>27</v>
      </c>
      <c r="Q13" s="11" cm="1">
        <f t="array" ref="Q13">+SUMPRODUCT((Data!$A$3:$A$26=Calculations!$Q$7)*(Data!$B$2:$K$2=Calculations!A13)*(Data!$B$3:$K$26))</f>
        <v>18</v>
      </c>
      <c r="R13" s="11" cm="1">
        <f t="array" ref="R13">+SUMPRODUCT((Data!$A$3:$A$26=Calculations!$R$7)*(Data!$B$2:$K$2=Calculations!A13)*(Data!$B$3:$K$26))</f>
        <v>32</v>
      </c>
    </row>
    <row r="14" spans="1:18" ht="16.5" thickTop="1" thickBot="1" x14ac:dyDescent="0.3">
      <c r="A14" s="15" t="s">
        <v>6</v>
      </c>
      <c r="B14" s="11" cm="1">
        <f t="array" ref="B14">+SUMPRODUCT((Data!$A$3:$A$26=Calculations!$B$7)*(Data!$B$2:$K$2=Calculations!A14)*(Data!$B$3:$K$26))</f>
        <v>1164</v>
      </c>
      <c r="C14" s="11" cm="1">
        <f t="array" ref="C14">+SUMPRODUCT((Data!$A$3:$A$26=Calculations!$C$7)*(Data!$B$2:$K$2=Calculations!A14)*(Data!$B$3:$K$26))</f>
        <v>986</v>
      </c>
      <c r="D14" s="16">
        <f t="shared" si="1"/>
        <v>0.18052738336713997</v>
      </c>
      <c r="E14" s="11" cm="1">
        <f t="array" ref="E14">+SUMPRODUCT((Data!$A$3:$A$26=Calculations!$E$7)*(Data!$B$2:$K$2=Calculations!A14)*(Data!$B$3:$K$26))</f>
        <v>1039</v>
      </c>
      <c r="F14" s="17">
        <f t="shared" si="2"/>
        <v>15759</v>
      </c>
      <c r="G14" s="11">
        <f t="shared" si="3"/>
        <v>1164</v>
      </c>
      <c r="H14" s="11">
        <f t="shared" si="4"/>
        <v>986</v>
      </c>
      <c r="I14" s="11" cm="1">
        <f t="array" ref="I14">+SUMPRODUCT((Data!$A$3:$A$26=Calculations!$I$7)*(Data!$B$2:$K$2=Calculations!A14)*(Data!$B$3:$K$26))</f>
        <v>1549</v>
      </c>
      <c r="J14" s="11" cm="1">
        <f t="array" ref="J14">+SUMPRODUCT((Data!$A$3:$A$26=Calculations!$J$7)*(Data!$B$2:$K$2=Calculations!A14)*(Data!$B$3:$K$26))</f>
        <v>1371</v>
      </c>
      <c r="K14" s="11" cm="1">
        <f t="array" ref="K14">+SUMPRODUCT((Data!$A$3:$A$26=Calculations!$K$7)*(Data!$B$2:$K$2=Calculations!A14)*(Data!$B$3:$K$26))</f>
        <v>960</v>
      </c>
      <c r="L14" s="11" cm="1">
        <f t="array" ref="L14">+SUMPRODUCT((Data!$A$3:$A$26=Calculations!$L$7)*(Data!$B$2:$K$2=Calculations!A14)*(Data!$B$3:$K$26))</f>
        <v>1429</v>
      </c>
      <c r="M14" s="11" cm="1">
        <f t="array" ref="M14">+SUMPRODUCT((Data!$A$3:$A$26=Calculations!$M$7)*(Data!$B$2:$K$2=Calculations!A14)*(Data!$B$3:$K$26))</f>
        <v>1448</v>
      </c>
      <c r="N14" s="11" cm="1">
        <f t="array" ref="N14">+SUMPRODUCT((Data!$A$3:$A$26=Calculations!$N$7)*(Data!$B$2:$K$2=Calculations!A14)*(Data!$B$3:$K$26))</f>
        <v>1079</v>
      </c>
      <c r="O14" s="11" cm="1">
        <f t="array" ref="O14">+SUMPRODUCT((Data!$A$3:$A$26=Calculations!$O$7)*(Data!$B$2:$K$2=Calculations!A14)*(Data!$B$3:$K$26))</f>
        <v>1661</v>
      </c>
      <c r="P14" s="11" cm="1">
        <f t="array" ref="P14">+SUMPRODUCT((Data!$A$3:$A$26=Calculations!$P$7)*(Data!$B$2:$K$2=Calculations!A14)*(Data!$B$3:$K$26))</f>
        <v>1455</v>
      </c>
      <c r="Q14" s="11" cm="1">
        <f t="array" ref="Q14">+SUMPRODUCT((Data!$A$3:$A$26=Calculations!$Q$7)*(Data!$B$2:$K$2=Calculations!A14)*(Data!$B$3:$K$26))</f>
        <v>1192</v>
      </c>
      <c r="R14" s="11" cm="1">
        <f t="array" ref="R14">+SUMPRODUCT((Data!$A$3:$A$26=Calculations!$R$7)*(Data!$B$2:$K$2=Calculations!A14)*(Data!$B$3:$K$26))</f>
        <v>1465</v>
      </c>
    </row>
    <row r="15" spans="1:18" ht="16.5" thickTop="1" thickBot="1" x14ac:dyDescent="0.3">
      <c r="A15" s="15" t="s">
        <v>7</v>
      </c>
      <c r="B15" s="11" cm="1">
        <f t="array" ref="B15">+SUMPRODUCT((Data!$A$3:$A$26=Calculations!$B$7)*(Data!$B$2:$K$2=Calculations!A15)*(Data!$B$3:$K$26))</f>
        <v>125</v>
      </c>
      <c r="C15" s="11" cm="1">
        <f t="array" ref="C15">+SUMPRODUCT((Data!$A$3:$A$26=Calculations!$C$7)*(Data!$B$2:$K$2=Calculations!A15)*(Data!$B$3:$K$26))</f>
        <v>139</v>
      </c>
      <c r="D15" s="16">
        <f t="shared" si="1"/>
        <v>-0.10071942446043165</v>
      </c>
      <c r="E15" s="11" cm="1">
        <f t="array" ref="E15">+SUMPRODUCT((Data!$A$3:$A$26=Calculations!$E$7)*(Data!$B$2:$K$2=Calculations!A15)*(Data!$B$3:$K$26))</f>
        <v>110</v>
      </c>
      <c r="F15" s="17">
        <f t="shared" si="2"/>
        <v>1355</v>
      </c>
      <c r="G15" s="11">
        <f t="shared" si="3"/>
        <v>125</v>
      </c>
      <c r="H15" s="11">
        <f t="shared" si="4"/>
        <v>139</v>
      </c>
      <c r="I15" s="11" cm="1">
        <f t="array" ref="I15">+SUMPRODUCT((Data!$A$3:$A$26=Calculations!$I$7)*(Data!$B$2:$K$2=Calculations!A15)*(Data!$B$3:$K$26))</f>
        <v>110</v>
      </c>
      <c r="J15" s="11" cm="1">
        <f t="array" ref="J15">+SUMPRODUCT((Data!$A$3:$A$26=Calculations!$J$7)*(Data!$B$2:$K$2=Calculations!A15)*(Data!$B$3:$K$26))</f>
        <v>134</v>
      </c>
      <c r="K15" s="11" cm="1">
        <f t="array" ref="K15">+SUMPRODUCT((Data!$A$3:$A$26=Calculations!$K$7)*(Data!$B$2:$K$2=Calculations!A15)*(Data!$B$3:$K$26))</f>
        <v>113</v>
      </c>
      <c r="L15" s="11" cm="1">
        <f t="array" ref="L15">+SUMPRODUCT((Data!$A$3:$A$26=Calculations!$L$7)*(Data!$B$2:$K$2=Calculations!A15)*(Data!$B$3:$K$26))</f>
        <v>133</v>
      </c>
      <c r="M15" s="11" cm="1">
        <f t="array" ref="M15">+SUMPRODUCT((Data!$A$3:$A$26=Calculations!$M$7)*(Data!$B$2:$K$2=Calculations!A15)*(Data!$B$3:$K$26))</f>
        <v>78</v>
      </c>
      <c r="N15" s="11" cm="1">
        <f t="array" ref="N15">+SUMPRODUCT((Data!$A$3:$A$26=Calculations!$N$7)*(Data!$B$2:$K$2=Calculations!A15)*(Data!$B$3:$K$26))</f>
        <v>133</v>
      </c>
      <c r="O15" s="11" cm="1">
        <f t="array" ref="O15">+SUMPRODUCT((Data!$A$3:$A$26=Calculations!$O$7)*(Data!$B$2:$K$2=Calculations!A15)*(Data!$B$3:$K$26))</f>
        <v>132</v>
      </c>
      <c r="P15" s="11" cm="1">
        <f t="array" ref="P15">+SUMPRODUCT((Data!$A$3:$A$26=Calculations!$P$7)*(Data!$B$2:$K$2=Calculations!A15)*(Data!$B$3:$K$26))</f>
        <v>83</v>
      </c>
      <c r="Q15" s="11" cm="1">
        <f t="array" ref="Q15">+SUMPRODUCT((Data!$A$3:$A$26=Calculations!$Q$7)*(Data!$B$2:$K$2=Calculations!A15)*(Data!$B$3:$K$26))</f>
        <v>58</v>
      </c>
      <c r="R15" s="11" cm="1">
        <f t="array" ref="R15">+SUMPRODUCT((Data!$A$3:$A$26=Calculations!$R$7)*(Data!$B$2:$K$2=Calculations!A15)*(Data!$B$3:$K$26))</f>
        <v>117</v>
      </c>
    </row>
    <row r="16" spans="1:18" ht="16.5" thickTop="1" thickBot="1" x14ac:dyDescent="0.3">
      <c r="A16" s="15" t="s">
        <v>8</v>
      </c>
      <c r="B16" s="11" cm="1">
        <f t="array" ref="B16">+SUMPRODUCT((Data!$A$3:$A$26=Calculations!$B$7)*(Data!$B$2:$K$2=Calculations!A16)*(Data!$B$3:$K$26))</f>
        <v>89</v>
      </c>
      <c r="C16" s="11" cm="1">
        <f t="array" ref="C16">+SUMPRODUCT((Data!$A$3:$A$26=Calculations!$C$7)*(Data!$B$2:$K$2=Calculations!A16)*(Data!$B$3:$K$26))</f>
        <v>110</v>
      </c>
      <c r="D16" s="16">
        <f t="shared" si="1"/>
        <v>-0.19090909090909092</v>
      </c>
      <c r="E16" s="11" cm="1">
        <f t="array" ref="E16">+SUMPRODUCT((Data!$A$3:$A$26=Calculations!$E$7)*(Data!$B$2:$K$2=Calculations!A16)*(Data!$B$3:$K$26))</f>
        <v>122</v>
      </c>
      <c r="F16" s="17">
        <f t="shared" si="2"/>
        <v>1589</v>
      </c>
      <c r="G16" s="11">
        <f t="shared" si="3"/>
        <v>89</v>
      </c>
      <c r="H16" s="11">
        <f t="shared" si="4"/>
        <v>110</v>
      </c>
      <c r="I16" s="11" cm="1">
        <f t="array" ref="I16">+SUMPRODUCT((Data!$A$3:$A$26=Calculations!$I$7)*(Data!$B$2:$K$2=Calculations!A16)*(Data!$B$3:$K$26))</f>
        <v>148</v>
      </c>
      <c r="J16" s="11" cm="1">
        <f t="array" ref="J16">+SUMPRODUCT((Data!$A$3:$A$26=Calculations!$J$7)*(Data!$B$2:$K$2=Calculations!A16)*(Data!$B$3:$K$26))</f>
        <v>131</v>
      </c>
      <c r="K16" s="11" cm="1">
        <f t="array" ref="K16">+SUMPRODUCT((Data!$A$3:$A$26=Calculations!$K$7)*(Data!$B$2:$K$2=Calculations!A16)*(Data!$B$3:$K$26))</f>
        <v>168</v>
      </c>
      <c r="L16" s="11" cm="1">
        <f t="array" ref="L16">+SUMPRODUCT((Data!$A$3:$A$26=Calculations!$L$7)*(Data!$B$2:$K$2=Calculations!A16)*(Data!$B$3:$K$26))</f>
        <v>144</v>
      </c>
      <c r="M16" s="11" cm="1">
        <f t="array" ref="M16">+SUMPRODUCT((Data!$A$3:$A$26=Calculations!$M$7)*(Data!$B$2:$K$2=Calculations!A16)*(Data!$B$3:$K$26))</f>
        <v>148</v>
      </c>
      <c r="N16" s="11" cm="1">
        <f t="array" ref="N16">+SUMPRODUCT((Data!$A$3:$A$26=Calculations!$N$7)*(Data!$B$2:$K$2=Calculations!A16)*(Data!$B$3:$K$26))</f>
        <v>172</v>
      </c>
      <c r="O16" s="11" cm="1">
        <f t="array" ref="O16">+SUMPRODUCT((Data!$A$3:$A$26=Calculations!$O$7)*(Data!$B$2:$K$2=Calculations!A16)*(Data!$B$3:$K$26))</f>
        <v>132</v>
      </c>
      <c r="P16" s="11" cm="1">
        <f t="array" ref="P16">+SUMPRODUCT((Data!$A$3:$A$26=Calculations!$P$7)*(Data!$B$2:$K$2=Calculations!A16)*(Data!$B$3:$K$26))</f>
        <v>96</v>
      </c>
      <c r="Q16" s="11" cm="1">
        <f t="array" ref="Q16">+SUMPRODUCT((Data!$A$3:$A$26=Calculations!$Q$7)*(Data!$B$2:$K$2=Calculations!A16)*(Data!$B$3:$K$26))</f>
        <v>121</v>
      </c>
      <c r="R16" s="11" cm="1">
        <f t="array" ref="R16">+SUMPRODUCT((Data!$A$3:$A$26=Calculations!$R$7)*(Data!$B$2:$K$2=Calculations!A16)*(Data!$B$3:$K$26))</f>
        <v>130</v>
      </c>
    </row>
    <row r="17" spans="1:18" ht="31.5" thickTop="1" thickBot="1" x14ac:dyDescent="0.3">
      <c r="A17" s="15" t="s">
        <v>9</v>
      </c>
      <c r="B17" s="11" cm="1">
        <f t="array" ref="B17">+SUMPRODUCT((Data!$A$3:$A$26=Calculations!$B$7)*(Data!$B$2:$K$2=Calculations!A17)*(Data!$B$3:$K$26))</f>
        <v>1700</v>
      </c>
      <c r="C17" s="11" cm="1">
        <f t="array" ref="C17">+SUMPRODUCT((Data!$A$3:$A$26=Calculations!$C$7)*(Data!$B$2:$K$2=Calculations!A17)*(Data!$B$3:$K$26))</f>
        <v>1330</v>
      </c>
      <c r="D17" s="16">
        <f t="shared" si="1"/>
        <v>0.2781954887218045</v>
      </c>
      <c r="E17" s="11" cm="1">
        <f t="array" ref="E17">+SUMPRODUCT((Data!$A$3:$A$26=Calculations!$E$7)*(Data!$B$2:$K$2=Calculations!A17)*(Data!$B$3:$K$26))</f>
        <v>1573</v>
      </c>
      <c r="F17" s="17">
        <f t="shared" si="2"/>
        <v>18989</v>
      </c>
      <c r="G17" s="11">
        <f t="shared" si="3"/>
        <v>1700</v>
      </c>
      <c r="H17" s="11">
        <f t="shared" si="4"/>
        <v>1330</v>
      </c>
      <c r="I17" s="11" cm="1">
        <f t="array" ref="I17">+SUMPRODUCT((Data!$A$3:$A$26=Calculations!$I$7)*(Data!$B$2:$K$2=Calculations!A17)*(Data!$B$3:$K$26))</f>
        <v>1444</v>
      </c>
      <c r="J17" s="11" cm="1">
        <f t="array" ref="J17">+SUMPRODUCT((Data!$A$3:$A$26=Calculations!$J$7)*(Data!$B$2:$K$2=Calculations!A17)*(Data!$B$3:$K$26))</f>
        <v>1587</v>
      </c>
      <c r="K17" s="11" cm="1">
        <f t="array" ref="K17">+SUMPRODUCT((Data!$A$3:$A$26=Calculations!$K$7)*(Data!$B$2:$K$2=Calculations!A17)*(Data!$B$3:$K$26))</f>
        <v>1375</v>
      </c>
      <c r="L17" s="11" cm="1">
        <f t="array" ref="L17">+SUMPRODUCT((Data!$A$3:$A$26=Calculations!$L$7)*(Data!$B$2:$K$2=Calculations!A17)*(Data!$B$3:$K$26))</f>
        <v>1971</v>
      </c>
      <c r="M17" s="11" cm="1">
        <f t="array" ref="M17">+SUMPRODUCT((Data!$A$3:$A$26=Calculations!$M$7)*(Data!$B$2:$K$2=Calculations!A17)*(Data!$B$3:$K$26))</f>
        <v>1974</v>
      </c>
      <c r="N17" s="11" cm="1">
        <f t="array" ref="N17">+SUMPRODUCT((Data!$A$3:$A$26=Calculations!$N$7)*(Data!$B$2:$K$2=Calculations!A17)*(Data!$B$3:$K$26))</f>
        <v>1191</v>
      </c>
      <c r="O17" s="11" cm="1">
        <f t="array" ref="O17">+SUMPRODUCT((Data!$A$3:$A$26=Calculations!$O$7)*(Data!$B$2:$K$2=Calculations!A17)*(Data!$B$3:$K$26))</f>
        <v>1740</v>
      </c>
      <c r="P17" s="11" cm="1">
        <f t="array" ref="P17">+SUMPRODUCT((Data!$A$3:$A$26=Calculations!$P$7)*(Data!$B$2:$K$2=Calculations!A17)*(Data!$B$3:$K$26))</f>
        <v>1437</v>
      </c>
      <c r="Q17" s="11" cm="1">
        <f t="array" ref="Q17">+SUMPRODUCT((Data!$A$3:$A$26=Calculations!$Q$7)*(Data!$B$2:$K$2=Calculations!A17)*(Data!$B$3:$K$26))</f>
        <v>1961</v>
      </c>
      <c r="R17" s="11" cm="1">
        <f t="array" ref="R17">+SUMPRODUCT((Data!$A$3:$A$26=Calculations!$R$7)*(Data!$B$2:$K$2=Calculations!A17)*(Data!$B$3:$K$26))</f>
        <v>1279</v>
      </c>
    </row>
    <row r="18" spans="1:18" ht="16.5" thickTop="1" thickBot="1" x14ac:dyDescent="0.3">
      <c r="E18" s="4"/>
    </row>
    <row r="19" spans="1:18" ht="31.5" thickTop="1" thickBot="1" x14ac:dyDescent="0.3">
      <c r="B19" s="15" t="s">
        <v>3</v>
      </c>
      <c r="C19" s="15" t="s">
        <v>4</v>
      </c>
      <c r="D19" s="15" t="s">
        <v>5</v>
      </c>
      <c r="E19" s="15" t="s">
        <v>1</v>
      </c>
    </row>
    <row r="20" spans="1:18" ht="16.5" thickTop="1" thickBot="1" x14ac:dyDescent="0.3">
      <c r="A20" s="3">
        <f>B2</f>
        <v>42795</v>
      </c>
      <c r="B20" s="11" cm="1">
        <f t="array" ref="B20">+SUMPRODUCT((Data!$A$3:$A$26=Calculations!$B$7)*(Data!$B$2:$K$2=Calculations!B19)*(Data!$B$3:$K$26))</f>
        <v>828</v>
      </c>
      <c r="C20" s="11" cm="1">
        <f t="array" ref="C20">+SUMPRODUCT((Data!$A$3:$A$26=Calculations!$B$7)*(Data!$B$2:$K$2=Calculations!C19)*(Data!$B$3:$K$26))</f>
        <v>210</v>
      </c>
      <c r="D20" s="11" cm="1">
        <f t="array" ref="D20">+SUMPRODUCT((Data!$A$3:$A$26=Calculations!$B$7)*(Data!$B$2:$K$2=Calculations!D19)*(Data!$B$3:$K$26))</f>
        <v>82</v>
      </c>
      <c r="E20" s="11" cm="1">
        <f t="array" ref="E20">+SUMPRODUCT((Data!$A$3:$A$26=Calculations!$B$7)*(Data!$B$2:$K$2=Calculations!E19)*(Data!$B$3:$K$26))</f>
        <v>80</v>
      </c>
    </row>
    <row r="21" spans="1:18" ht="16.5" thickTop="1" thickBot="1" x14ac:dyDescent="0.3">
      <c r="A21" s="3">
        <f>B3</f>
        <v>42767</v>
      </c>
      <c r="B21" s="11" cm="1">
        <f t="array" ref="B21">+SUMPRODUCT((Data!$A$3:$A$26=Calculations!$C$7)*(Data!$B$2:$K$2=Calculations!B19)*(Data!$B$3:$K$26))</f>
        <v>732</v>
      </c>
      <c r="C21" s="11" cm="1">
        <f t="array" ref="C21">+SUMPRODUCT((Data!$A$3:$A$26=Calculations!$C$7)*(Data!$B$2:$K$2=Calculations!C19)*(Data!$B$3:$K$26))</f>
        <v>110</v>
      </c>
      <c r="D21" s="11" cm="1">
        <f t="array" ref="D21">+SUMPRODUCT((Data!$A$3:$A$26=Calculations!$C$7)*(Data!$B$2:$K$2=Calculations!D19)*(Data!$B$3:$K$26))</f>
        <v>92</v>
      </c>
      <c r="E21" s="11" cm="1">
        <f t="array" ref="E21">+SUMPRODUCT((Data!$A$3:$A$26=Calculations!$C$7)*(Data!$B$2:$K$2=Calculations!E19)*(Data!$B$3:$K$26))</f>
        <v>71</v>
      </c>
    </row>
    <row r="22" spans="1:18" ht="15.75" thickTop="1" x14ac:dyDescent="0.25">
      <c r="E22" s="4"/>
    </row>
    <row r="23" spans="1:18" ht="15.75" thickBot="1" x14ac:dyDescent="0.3">
      <c r="E23" s="4"/>
    </row>
    <row r="24" spans="1:18" ht="16.5" thickTop="1" thickBot="1" x14ac:dyDescent="0.3">
      <c r="A24" s="11"/>
      <c r="B24" s="11"/>
      <c r="C24" s="14">
        <f>G7</f>
        <v>42795</v>
      </c>
      <c r="D24" s="14">
        <f t="shared" ref="D24:F24" si="5">H7</f>
        <v>42767</v>
      </c>
      <c r="E24" s="14">
        <f t="shared" si="5"/>
        <v>42736</v>
      </c>
      <c r="F24" s="14">
        <f t="shared" si="5"/>
        <v>42705</v>
      </c>
    </row>
    <row r="25" spans="1:18" ht="16.5" thickTop="1" thickBot="1" x14ac:dyDescent="0.3">
      <c r="A25" s="11" t="s">
        <v>19</v>
      </c>
      <c r="B25" s="11"/>
      <c r="C25" s="11">
        <v>600</v>
      </c>
      <c r="D25" s="11">
        <v>600</v>
      </c>
      <c r="E25" s="11">
        <v>600</v>
      </c>
      <c r="F25" s="11">
        <v>600</v>
      </c>
    </row>
    <row r="26" spans="1:18" ht="16.5" thickTop="1" thickBot="1" x14ac:dyDescent="0.3">
      <c r="A26" s="11" t="s">
        <v>20</v>
      </c>
      <c r="B26" s="11"/>
      <c r="C26" s="11">
        <v>600</v>
      </c>
      <c r="D26" s="11">
        <v>600</v>
      </c>
      <c r="E26" s="11">
        <v>600</v>
      </c>
      <c r="F26" s="11">
        <v>600</v>
      </c>
    </row>
    <row r="27" spans="1:18" ht="16.5" thickTop="1" thickBot="1" x14ac:dyDescent="0.3">
      <c r="A27" s="11" t="s">
        <v>21</v>
      </c>
      <c r="B27" s="11"/>
      <c r="C27" s="11">
        <v>600</v>
      </c>
      <c r="D27" s="11">
        <v>600</v>
      </c>
      <c r="E27" s="11">
        <v>600</v>
      </c>
      <c r="F27" s="11">
        <v>600</v>
      </c>
    </row>
    <row r="28" spans="1:18" ht="16.5" thickTop="1" thickBot="1" x14ac:dyDescent="0.3">
      <c r="A28" s="11" t="s">
        <v>22</v>
      </c>
      <c r="B28" s="11"/>
      <c r="C28" s="11">
        <v>1500</v>
      </c>
      <c r="D28" s="11">
        <v>1500</v>
      </c>
      <c r="E28" s="11">
        <v>1500</v>
      </c>
      <c r="F28" s="11">
        <v>1500</v>
      </c>
    </row>
    <row r="29" spans="1:18" ht="16.5" thickTop="1" thickBot="1" x14ac:dyDescent="0.3">
      <c r="A29" s="11" t="s">
        <v>23</v>
      </c>
      <c r="B29" s="11"/>
      <c r="C29" s="11">
        <f>G14</f>
        <v>1164</v>
      </c>
      <c r="D29" s="11">
        <f t="shared" ref="D29:F29" si="6">H14</f>
        <v>986</v>
      </c>
      <c r="E29" s="11">
        <f t="shared" si="6"/>
        <v>1549</v>
      </c>
      <c r="F29" s="11">
        <f t="shared" si="6"/>
        <v>1371</v>
      </c>
    </row>
    <row r="30" spans="1:18" ht="15.75" thickTop="1" x14ac:dyDescent="0.25"/>
    <row r="32" spans="1:18" x14ac:dyDescent="0.25">
      <c r="B32" s="19" t="s">
        <v>6</v>
      </c>
      <c r="D32" s="19" t="str">
        <f>A15</f>
        <v>Students</v>
      </c>
      <c r="F32" s="19" t="str">
        <f>A16</f>
        <v>YouTube Subscribers</v>
      </c>
      <c r="H32" s="19" t="str">
        <f>A17</f>
        <v>Website Unique visitors</v>
      </c>
    </row>
    <row r="33" spans="2:8" x14ac:dyDescent="0.25">
      <c r="B33" s="10">
        <f>B14</f>
        <v>1164</v>
      </c>
      <c r="D33" s="10">
        <f>B15</f>
        <v>125</v>
      </c>
      <c r="F33" s="20">
        <f>B16</f>
        <v>89</v>
      </c>
      <c r="H33" s="20">
        <f>B17</f>
        <v>1700</v>
      </c>
    </row>
    <row r="34" spans="2:8" x14ac:dyDescent="0.25">
      <c r="B34" s="18">
        <f>D14</f>
        <v>0.18052738336713997</v>
      </c>
      <c r="D34" s="18">
        <f>D15</f>
        <v>-0.10071942446043165</v>
      </c>
      <c r="F34" s="18">
        <f>D16</f>
        <v>-0.19090909090909092</v>
      </c>
      <c r="H34" s="18">
        <f>D17</f>
        <v>0.2781954887218045</v>
      </c>
    </row>
    <row r="35" spans="2:8" ht="41.25" customHeight="1" x14ac:dyDescent="0.25"/>
  </sheetData>
  <sheetProtection sort="0" autoFilter="0" pivotTables="0"/>
  <mergeCells count="1">
    <mergeCell ref="F6:R6"/>
  </mergeCells>
  <conditionalFormatting sqref="B34">
    <cfRule type="iconSet" priority="1">
      <iconSet iconSet="3Arrows">
        <cfvo type="percent" val="0"/>
        <cfvo type="percent" val="0"/>
        <cfvo type="percent" val="0" gte="0"/>
      </iconSet>
    </cfRule>
    <cfRule type="iconSet" priority="5">
      <iconSet iconSet="3Arrows">
        <cfvo type="percent" val="0"/>
        <cfvo type="percent" val="0"/>
        <cfvo type="percent" val="0" gte="0"/>
      </iconSet>
    </cfRule>
  </conditionalFormatting>
  <conditionalFormatting sqref="D34">
    <cfRule type="iconSet" priority="4">
      <iconSet iconSet="3Arrows">
        <cfvo type="percent" val="0"/>
        <cfvo type="percent" val="0"/>
        <cfvo type="percent" val="0" gte="0"/>
      </iconSet>
    </cfRule>
  </conditionalFormatting>
  <conditionalFormatting sqref="F34">
    <cfRule type="iconSet" priority="3">
      <iconSet iconSet="3Arrows">
        <cfvo type="percent" val="0"/>
        <cfvo type="percent" val="0"/>
        <cfvo type="percent" val="0" gte="0"/>
      </iconSet>
    </cfRule>
  </conditionalFormatting>
  <conditionalFormatting sqref="H34">
    <cfRule type="iconSet" priority="2">
      <iconSet iconSet="3Arrows">
        <cfvo type="percent" val="0"/>
        <cfvo type="percent" val="0"/>
        <cfvo type="percent" val="0" gte="0"/>
      </iconSe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BE8D136-926B-4874-960E-3428DE631703}">
          <x14:formula1>
            <xm:f>Data!$A$15:$A$26</xm:f>
          </x14:formula1>
          <xm:sqref>B2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952E6F06-75AF-4822-88CD-579D8D0D08B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Calculations!G17:R17</xm:f>
              <xm:sqref>H35</xm:sqref>
            </x14:sparkline>
          </x14:sparklines>
        </x14:sparklineGroup>
        <x14:sparklineGroup displayEmptyCellsAs="gap" xr2:uid="{1F1ECC0F-3D22-4FD5-BFE8-11DB00C8DCF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Calculations!G16:R16</xm:f>
              <xm:sqref>F35</xm:sqref>
            </x14:sparkline>
          </x14:sparklines>
        </x14:sparklineGroup>
        <x14:sparklineGroup displayEmptyCellsAs="gap" xr2:uid="{E8E9F71D-07CF-4D77-9D2A-F2BAEB06EA6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Calculations!G15:R15</xm:f>
              <xm:sqref>D35</xm:sqref>
            </x14:sparkline>
          </x14:sparklines>
        </x14:sparklineGroup>
        <x14:sparklineGroup displayEmptyCellsAs="gap" xr2:uid="{5FE566A4-0E79-45BA-A3AA-5A5AD582471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Calculations!G14:R14</xm:f>
              <xm:sqref>B35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26"/>
  <sheetViews>
    <sheetView topLeftCell="A8" zoomScaleNormal="100" workbookViewId="0">
      <selection activeCell="B2" sqref="B2"/>
    </sheetView>
  </sheetViews>
  <sheetFormatPr defaultRowHeight="15" x14ac:dyDescent="0.25"/>
  <cols>
    <col min="1" max="1" width="9.140625" style="2"/>
    <col min="2" max="3" width="10" customWidth="1"/>
    <col min="4" max="4" width="11.7109375" customWidth="1"/>
    <col min="5" max="9" width="10" customWidth="1"/>
    <col min="10" max="10" width="11.85546875" customWidth="1"/>
    <col min="11" max="11" width="17.5703125" customWidth="1"/>
  </cols>
  <sheetData>
    <row r="2" spans="1:11" s="1" customFormat="1" ht="30" x14ac:dyDescent="0.25">
      <c r="A2" s="9" t="s">
        <v>2</v>
      </c>
      <c r="B2" s="9" t="s">
        <v>10</v>
      </c>
      <c r="C2" s="9" t="s">
        <v>3</v>
      </c>
      <c r="D2" s="9" t="s">
        <v>4</v>
      </c>
      <c r="E2" s="9" t="s">
        <v>5</v>
      </c>
      <c r="F2" s="9" t="s">
        <v>1</v>
      </c>
      <c r="G2" s="9" t="s">
        <v>0</v>
      </c>
      <c r="H2" s="9" t="s">
        <v>6</v>
      </c>
      <c r="I2" s="9" t="s">
        <v>7</v>
      </c>
      <c r="J2" s="9" t="s">
        <v>8</v>
      </c>
      <c r="K2" s="9" t="s">
        <v>9</v>
      </c>
    </row>
    <row r="3" spans="1:11" x14ac:dyDescent="0.25">
      <c r="A3" s="5">
        <v>42370</v>
      </c>
      <c r="B3" s="6">
        <f t="shared" ref="B3:B26" si="0">SUM(C3:F3)</f>
        <v>1460</v>
      </c>
      <c r="C3" s="7">
        <v>1041</v>
      </c>
      <c r="D3" s="7">
        <v>284</v>
      </c>
      <c r="E3" s="7">
        <v>90</v>
      </c>
      <c r="F3" s="7">
        <v>45</v>
      </c>
      <c r="G3" s="7">
        <v>38</v>
      </c>
      <c r="H3" s="6">
        <f t="shared" ref="H3:H26" si="1">B3-G3</f>
        <v>1422</v>
      </c>
      <c r="I3" s="7">
        <v>77</v>
      </c>
      <c r="J3" s="7">
        <v>151</v>
      </c>
      <c r="K3" s="8">
        <v>1286</v>
      </c>
    </row>
    <row r="4" spans="1:11" x14ac:dyDescent="0.25">
      <c r="A4" s="5">
        <v>42401</v>
      </c>
      <c r="B4" s="6">
        <f t="shared" si="0"/>
        <v>1491</v>
      </c>
      <c r="C4" s="7">
        <v>1196</v>
      </c>
      <c r="D4" s="7">
        <v>143</v>
      </c>
      <c r="E4" s="7">
        <v>62</v>
      </c>
      <c r="F4" s="7">
        <v>90</v>
      </c>
      <c r="G4" s="7">
        <v>24</v>
      </c>
      <c r="H4" s="6">
        <f t="shared" si="1"/>
        <v>1467</v>
      </c>
      <c r="I4" s="7">
        <v>119</v>
      </c>
      <c r="J4" s="7">
        <v>178</v>
      </c>
      <c r="K4" s="8">
        <v>1245</v>
      </c>
    </row>
    <row r="5" spans="1:11" x14ac:dyDescent="0.25">
      <c r="A5" s="5">
        <v>42430</v>
      </c>
      <c r="B5" s="6">
        <f t="shared" si="0"/>
        <v>1082</v>
      </c>
      <c r="C5" s="7">
        <v>769</v>
      </c>
      <c r="D5" s="7">
        <v>158</v>
      </c>
      <c r="E5" s="7">
        <v>81</v>
      </c>
      <c r="F5" s="7">
        <v>74</v>
      </c>
      <c r="G5" s="7">
        <v>43</v>
      </c>
      <c r="H5" s="6">
        <f t="shared" si="1"/>
        <v>1039</v>
      </c>
      <c r="I5" s="7">
        <v>110</v>
      </c>
      <c r="J5" s="7">
        <v>122</v>
      </c>
      <c r="K5" s="8">
        <v>1573</v>
      </c>
    </row>
    <row r="6" spans="1:11" x14ac:dyDescent="0.25">
      <c r="A6" s="5">
        <v>42461</v>
      </c>
      <c r="B6" s="6">
        <f t="shared" si="0"/>
        <v>1497</v>
      </c>
      <c r="C6" s="7">
        <v>1232</v>
      </c>
      <c r="D6" s="7">
        <v>113</v>
      </c>
      <c r="E6" s="7">
        <v>77</v>
      </c>
      <c r="F6" s="7">
        <v>75</v>
      </c>
      <c r="G6" s="7">
        <v>32</v>
      </c>
      <c r="H6" s="6">
        <f t="shared" si="1"/>
        <v>1465</v>
      </c>
      <c r="I6" s="7">
        <v>117</v>
      </c>
      <c r="J6" s="7">
        <v>130</v>
      </c>
      <c r="K6" s="8">
        <v>1279</v>
      </c>
    </row>
    <row r="7" spans="1:11" x14ac:dyDescent="0.25">
      <c r="A7" s="5">
        <v>42491</v>
      </c>
      <c r="B7" s="6">
        <f t="shared" si="0"/>
        <v>1210</v>
      </c>
      <c r="C7" s="7">
        <v>821</v>
      </c>
      <c r="D7" s="7">
        <v>225</v>
      </c>
      <c r="E7" s="7">
        <v>102</v>
      </c>
      <c r="F7" s="7">
        <v>62</v>
      </c>
      <c r="G7" s="7">
        <v>18</v>
      </c>
      <c r="H7" s="6">
        <f t="shared" si="1"/>
        <v>1192</v>
      </c>
      <c r="I7" s="7">
        <v>58</v>
      </c>
      <c r="J7" s="7">
        <v>121</v>
      </c>
      <c r="K7" s="8">
        <v>1961</v>
      </c>
    </row>
    <row r="8" spans="1:11" x14ac:dyDescent="0.25">
      <c r="A8" s="5">
        <v>42522</v>
      </c>
      <c r="B8" s="6">
        <f t="shared" si="0"/>
        <v>1482</v>
      </c>
      <c r="C8" s="7">
        <v>1039</v>
      </c>
      <c r="D8" s="7">
        <v>269</v>
      </c>
      <c r="E8" s="7">
        <v>116</v>
      </c>
      <c r="F8" s="7">
        <v>58</v>
      </c>
      <c r="G8" s="7">
        <v>27</v>
      </c>
      <c r="H8" s="6">
        <f t="shared" si="1"/>
        <v>1455</v>
      </c>
      <c r="I8" s="7">
        <v>83</v>
      </c>
      <c r="J8" s="7">
        <v>96</v>
      </c>
      <c r="K8" s="8">
        <v>1437</v>
      </c>
    </row>
    <row r="9" spans="1:11" x14ac:dyDescent="0.25">
      <c r="A9" s="5">
        <v>42552</v>
      </c>
      <c r="B9" s="6">
        <f t="shared" si="0"/>
        <v>1707</v>
      </c>
      <c r="C9" s="7">
        <v>1300</v>
      </c>
      <c r="D9" s="7">
        <v>281</v>
      </c>
      <c r="E9" s="7">
        <v>63</v>
      </c>
      <c r="F9" s="7">
        <v>63</v>
      </c>
      <c r="G9" s="7">
        <v>46</v>
      </c>
      <c r="H9" s="6">
        <f t="shared" si="1"/>
        <v>1661</v>
      </c>
      <c r="I9" s="7">
        <v>132</v>
      </c>
      <c r="J9" s="7">
        <v>132</v>
      </c>
      <c r="K9" s="8">
        <v>1740</v>
      </c>
    </row>
    <row r="10" spans="1:11" x14ac:dyDescent="0.25">
      <c r="A10" s="5">
        <v>42583</v>
      </c>
      <c r="B10" s="6">
        <f t="shared" si="0"/>
        <v>1125</v>
      </c>
      <c r="C10" s="7">
        <v>830</v>
      </c>
      <c r="D10" s="7">
        <v>172</v>
      </c>
      <c r="E10" s="7">
        <v>59</v>
      </c>
      <c r="F10" s="7">
        <v>64</v>
      </c>
      <c r="G10" s="7">
        <v>46</v>
      </c>
      <c r="H10" s="6">
        <f t="shared" si="1"/>
        <v>1079</v>
      </c>
      <c r="I10" s="7">
        <v>133</v>
      </c>
      <c r="J10" s="7">
        <v>172</v>
      </c>
      <c r="K10" s="8">
        <v>1191</v>
      </c>
    </row>
    <row r="11" spans="1:11" x14ac:dyDescent="0.25">
      <c r="A11" s="5">
        <v>42614</v>
      </c>
      <c r="B11" s="6">
        <f t="shared" si="0"/>
        <v>1492</v>
      </c>
      <c r="C11" s="7">
        <v>1006</v>
      </c>
      <c r="D11" s="7">
        <v>350</v>
      </c>
      <c r="E11" s="7">
        <v>54</v>
      </c>
      <c r="F11" s="7">
        <v>82</v>
      </c>
      <c r="G11" s="7">
        <v>44</v>
      </c>
      <c r="H11" s="6">
        <f t="shared" si="1"/>
        <v>1448</v>
      </c>
      <c r="I11" s="7">
        <v>78</v>
      </c>
      <c r="J11" s="7">
        <v>148</v>
      </c>
      <c r="K11" s="8">
        <v>1974</v>
      </c>
    </row>
    <row r="12" spans="1:11" x14ac:dyDescent="0.25">
      <c r="A12" s="5">
        <v>42644</v>
      </c>
      <c r="B12" s="6">
        <f t="shared" si="0"/>
        <v>1459</v>
      </c>
      <c r="C12" s="7">
        <v>1025</v>
      </c>
      <c r="D12" s="7">
        <v>287</v>
      </c>
      <c r="E12" s="7">
        <v>60</v>
      </c>
      <c r="F12" s="7">
        <v>87</v>
      </c>
      <c r="G12" s="7">
        <v>30</v>
      </c>
      <c r="H12" s="6">
        <f t="shared" si="1"/>
        <v>1429</v>
      </c>
      <c r="I12" s="7">
        <v>133</v>
      </c>
      <c r="J12" s="7">
        <v>144</v>
      </c>
      <c r="K12" s="8">
        <v>1971</v>
      </c>
    </row>
    <row r="13" spans="1:11" x14ac:dyDescent="0.25">
      <c r="A13" s="5">
        <v>42675</v>
      </c>
      <c r="B13" s="6">
        <f t="shared" si="0"/>
        <v>997</v>
      </c>
      <c r="C13" s="7">
        <v>771</v>
      </c>
      <c r="D13" s="7">
        <v>115</v>
      </c>
      <c r="E13" s="7">
        <v>53</v>
      </c>
      <c r="F13" s="7">
        <v>58</v>
      </c>
      <c r="G13" s="7">
        <v>37</v>
      </c>
      <c r="H13" s="6">
        <f t="shared" si="1"/>
        <v>960</v>
      </c>
      <c r="I13" s="7">
        <v>113</v>
      </c>
      <c r="J13" s="7">
        <v>168</v>
      </c>
      <c r="K13" s="8">
        <v>1375</v>
      </c>
    </row>
    <row r="14" spans="1:11" x14ac:dyDescent="0.25">
      <c r="A14" s="5">
        <v>42705</v>
      </c>
      <c r="B14" s="6">
        <f t="shared" si="0"/>
        <v>1410</v>
      </c>
      <c r="C14" s="7">
        <v>950</v>
      </c>
      <c r="D14" s="7">
        <v>332</v>
      </c>
      <c r="E14" s="7">
        <v>65</v>
      </c>
      <c r="F14" s="7">
        <v>63</v>
      </c>
      <c r="G14" s="7">
        <v>39</v>
      </c>
      <c r="H14" s="6">
        <f t="shared" si="1"/>
        <v>1371</v>
      </c>
      <c r="I14" s="7">
        <v>134</v>
      </c>
      <c r="J14" s="7">
        <v>131</v>
      </c>
      <c r="K14" s="8">
        <v>1587</v>
      </c>
    </row>
    <row r="15" spans="1:11" x14ac:dyDescent="0.25">
      <c r="A15" s="5">
        <v>42736</v>
      </c>
      <c r="B15" s="6">
        <f t="shared" si="0"/>
        <v>1560</v>
      </c>
      <c r="C15" s="7">
        <v>1146</v>
      </c>
      <c r="D15" s="7">
        <v>230</v>
      </c>
      <c r="E15" s="7">
        <v>112</v>
      </c>
      <c r="F15" s="7">
        <v>72</v>
      </c>
      <c r="G15" s="7">
        <v>11</v>
      </c>
      <c r="H15" s="6">
        <f t="shared" si="1"/>
        <v>1549</v>
      </c>
      <c r="I15" s="7">
        <v>110</v>
      </c>
      <c r="J15" s="7">
        <v>148</v>
      </c>
      <c r="K15" s="8">
        <v>1444</v>
      </c>
    </row>
    <row r="16" spans="1:11" x14ac:dyDescent="0.25">
      <c r="A16" s="5">
        <v>42767</v>
      </c>
      <c r="B16" s="6">
        <f t="shared" si="0"/>
        <v>1005</v>
      </c>
      <c r="C16" s="7">
        <v>732</v>
      </c>
      <c r="D16" s="7">
        <v>110</v>
      </c>
      <c r="E16" s="7">
        <v>92</v>
      </c>
      <c r="F16" s="7">
        <v>71</v>
      </c>
      <c r="G16" s="7">
        <v>19</v>
      </c>
      <c r="H16" s="6">
        <f t="shared" si="1"/>
        <v>986</v>
      </c>
      <c r="I16" s="7">
        <v>139</v>
      </c>
      <c r="J16" s="7">
        <v>110</v>
      </c>
      <c r="K16" s="8">
        <v>1330</v>
      </c>
    </row>
    <row r="17" spans="1:11" x14ac:dyDescent="0.25">
      <c r="A17" s="5">
        <v>42795</v>
      </c>
      <c r="B17" s="6">
        <f t="shared" si="0"/>
        <v>1200</v>
      </c>
      <c r="C17" s="7">
        <v>828</v>
      </c>
      <c r="D17" s="7">
        <v>210</v>
      </c>
      <c r="E17" s="7">
        <v>82</v>
      </c>
      <c r="F17" s="7">
        <v>80</v>
      </c>
      <c r="G17" s="7">
        <v>36</v>
      </c>
      <c r="H17" s="6">
        <f t="shared" si="1"/>
        <v>1164</v>
      </c>
      <c r="I17" s="7">
        <v>125</v>
      </c>
      <c r="J17" s="7">
        <v>89</v>
      </c>
      <c r="K17" s="8">
        <v>1700</v>
      </c>
    </row>
    <row r="18" spans="1:11" x14ac:dyDescent="0.25">
      <c r="A18" s="5">
        <v>42826</v>
      </c>
      <c r="B18" s="6">
        <f t="shared" si="0"/>
        <v>1492</v>
      </c>
      <c r="C18" s="7">
        <v>1114</v>
      </c>
      <c r="D18" s="7">
        <v>230</v>
      </c>
      <c r="E18" s="7">
        <v>85</v>
      </c>
      <c r="F18" s="7">
        <v>63</v>
      </c>
      <c r="G18" s="7">
        <v>15</v>
      </c>
      <c r="H18" s="6">
        <f t="shared" si="1"/>
        <v>1477</v>
      </c>
      <c r="I18" s="7">
        <v>76</v>
      </c>
      <c r="J18" s="7">
        <v>117</v>
      </c>
      <c r="K18" s="8">
        <v>1708</v>
      </c>
    </row>
    <row r="19" spans="1:11" x14ac:dyDescent="0.25">
      <c r="A19" s="5">
        <v>42856</v>
      </c>
      <c r="B19" s="6">
        <f t="shared" si="0"/>
        <v>1252</v>
      </c>
      <c r="C19" s="7">
        <v>936</v>
      </c>
      <c r="D19" s="7">
        <v>172</v>
      </c>
      <c r="E19" s="7">
        <v>77</v>
      </c>
      <c r="F19" s="7">
        <v>67</v>
      </c>
      <c r="G19" s="7">
        <v>10</v>
      </c>
      <c r="H19" s="6">
        <f t="shared" si="1"/>
        <v>1242</v>
      </c>
      <c r="I19" s="7">
        <v>101</v>
      </c>
      <c r="J19" s="7">
        <v>107</v>
      </c>
      <c r="K19" s="8">
        <v>1036</v>
      </c>
    </row>
    <row r="20" spans="1:11" x14ac:dyDescent="0.25">
      <c r="A20" s="5">
        <v>42887</v>
      </c>
      <c r="B20" s="6">
        <f t="shared" si="0"/>
        <v>1342</v>
      </c>
      <c r="C20" s="7">
        <v>872</v>
      </c>
      <c r="D20" s="7">
        <v>309</v>
      </c>
      <c r="E20" s="7">
        <v>92</v>
      </c>
      <c r="F20" s="7">
        <v>69</v>
      </c>
      <c r="G20" s="7">
        <v>40</v>
      </c>
      <c r="H20" s="6">
        <f t="shared" si="1"/>
        <v>1302</v>
      </c>
      <c r="I20" s="7">
        <v>62</v>
      </c>
      <c r="J20" s="7">
        <v>138</v>
      </c>
      <c r="K20" s="8">
        <v>1818</v>
      </c>
    </row>
    <row r="21" spans="1:11" x14ac:dyDescent="0.25">
      <c r="A21" s="5">
        <v>42917</v>
      </c>
      <c r="B21" s="6">
        <f t="shared" si="0"/>
        <v>1331</v>
      </c>
      <c r="C21" s="7">
        <v>928</v>
      </c>
      <c r="D21" s="7">
        <v>275</v>
      </c>
      <c r="E21" s="7">
        <v>76</v>
      </c>
      <c r="F21" s="7">
        <v>52</v>
      </c>
      <c r="G21" s="7">
        <v>50</v>
      </c>
      <c r="H21" s="6">
        <f t="shared" si="1"/>
        <v>1281</v>
      </c>
      <c r="I21" s="7">
        <v>94</v>
      </c>
      <c r="J21" s="7">
        <v>116</v>
      </c>
      <c r="K21" s="8">
        <v>1873</v>
      </c>
    </row>
    <row r="22" spans="1:11" x14ac:dyDescent="0.25">
      <c r="A22" s="5">
        <v>42948</v>
      </c>
      <c r="B22" s="6">
        <f t="shared" si="0"/>
        <v>1399</v>
      </c>
      <c r="C22" s="7">
        <v>977</v>
      </c>
      <c r="D22" s="7">
        <v>226</v>
      </c>
      <c r="E22" s="7">
        <v>108</v>
      </c>
      <c r="F22" s="7">
        <v>88</v>
      </c>
      <c r="G22" s="7">
        <v>28</v>
      </c>
      <c r="H22" s="6">
        <f t="shared" si="1"/>
        <v>1371</v>
      </c>
      <c r="I22" s="7">
        <v>88</v>
      </c>
      <c r="J22" s="7">
        <v>125</v>
      </c>
      <c r="K22" s="8">
        <v>1716</v>
      </c>
    </row>
    <row r="23" spans="1:11" x14ac:dyDescent="0.25">
      <c r="A23" s="5">
        <v>42979</v>
      </c>
      <c r="B23" s="6">
        <f t="shared" si="0"/>
        <v>1272</v>
      </c>
      <c r="C23" s="7">
        <v>802</v>
      </c>
      <c r="D23" s="7">
        <v>280</v>
      </c>
      <c r="E23" s="7">
        <v>108</v>
      </c>
      <c r="F23" s="7">
        <v>82</v>
      </c>
      <c r="G23" s="7">
        <v>25</v>
      </c>
      <c r="H23" s="6">
        <f t="shared" si="1"/>
        <v>1247</v>
      </c>
      <c r="I23" s="7">
        <v>123</v>
      </c>
      <c r="J23" s="7">
        <v>108</v>
      </c>
      <c r="K23" s="8">
        <v>1405</v>
      </c>
    </row>
    <row r="24" spans="1:11" x14ac:dyDescent="0.25">
      <c r="A24" s="5">
        <v>43009</v>
      </c>
      <c r="B24" s="6">
        <f t="shared" si="0"/>
        <v>1049</v>
      </c>
      <c r="C24" s="7">
        <v>817</v>
      </c>
      <c r="D24" s="7">
        <v>120</v>
      </c>
      <c r="E24" s="7">
        <v>60</v>
      </c>
      <c r="F24" s="7">
        <v>52</v>
      </c>
      <c r="G24" s="7">
        <v>30</v>
      </c>
      <c r="H24" s="6">
        <f t="shared" si="1"/>
        <v>1019</v>
      </c>
      <c r="I24" s="7">
        <v>61</v>
      </c>
      <c r="J24" s="7">
        <v>142</v>
      </c>
      <c r="K24" s="8">
        <v>1518</v>
      </c>
    </row>
    <row r="25" spans="1:11" x14ac:dyDescent="0.25">
      <c r="A25" s="5">
        <v>43040</v>
      </c>
      <c r="B25" s="6">
        <f t="shared" si="0"/>
        <v>1157</v>
      </c>
      <c r="C25" s="7">
        <v>820</v>
      </c>
      <c r="D25" s="7">
        <v>158</v>
      </c>
      <c r="E25" s="7">
        <v>96</v>
      </c>
      <c r="F25" s="7">
        <v>83</v>
      </c>
      <c r="G25" s="7">
        <v>17</v>
      </c>
      <c r="H25" s="6">
        <f t="shared" si="1"/>
        <v>1140</v>
      </c>
      <c r="I25" s="7">
        <v>68</v>
      </c>
      <c r="J25" s="7">
        <v>179</v>
      </c>
      <c r="K25" s="8">
        <v>1637</v>
      </c>
    </row>
    <row r="26" spans="1:11" x14ac:dyDescent="0.25">
      <c r="A26" s="5">
        <v>43070</v>
      </c>
      <c r="B26" s="6">
        <f t="shared" si="0"/>
        <v>1572</v>
      </c>
      <c r="C26" s="7">
        <v>1258</v>
      </c>
      <c r="D26" s="7">
        <v>146</v>
      </c>
      <c r="E26" s="7">
        <v>118</v>
      </c>
      <c r="F26" s="7">
        <v>50</v>
      </c>
      <c r="G26" s="7">
        <v>47</v>
      </c>
      <c r="H26" s="6">
        <f t="shared" si="1"/>
        <v>1525</v>
      </c>
      <c r="I26" s="7">
        <v>103</v>
      </c>
      <c r="J26" s="7">
        <v>123</v>
      </c>
      <c r="K26" s="8">
        <v>1224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Calculations</vt:lpstr>
      <vt:lpstr>Data</vt:lpstr>
    </vt:vector>
  </TitlesOfParts>
  <Company>Chandoo.org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Purna Duggirala</dc:creator>
  <cp:lastModifiedBy>Microsoft</cp:lastModifiedBy>
  <dcterms:created xsi:type="dcterms:W3CDTF">2010-10-23T09:13:26Z</dcterms:created>
  <dcterms:modified xsi:type="dcterms:W3CDTF">2022-06-09T10:50:01Z</dcterms:modified>
</cp:coreProperties>
</file>